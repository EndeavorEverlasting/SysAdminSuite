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1"/>
  <workbookPr/>
  <mc:AlternateContent xmlns:mc="http://schemas.openxmlformats.org/markup-compatibility/2006">
    <mc:Choice Requires="x15">
      <x15ac:absPath xmlns:x15ac="http://schemas.microsoft.com/office/spreadsheetml/2010/11/ac" url="https://northwell-my.sharepoint.com/personal/dwashicosky_northwell_edu/Documents/Projects/ATP2026078 - Epic Training Space Buildout/08. Desktop/WAVE 2/Agilant (shared)/"/>
    </mc:Choice>
  </mc:AlternateContent>
  <xr:revisionPtr revIDLastSave="0" documentId="8_{EBA6F5CC-30C8-49CB-BF67-DCB623AD5353}" xr6:coauthVersionLast="47" xr6:coauthVersionMax="47" xr10:uidLastSave="{00000000-0000-0000-0000-000000000000}"/>
  <bookViews>
    <workbookView xWindow="-108" yWindow="-108" windowWidth="30936" windowHeight="16776" firstSheet="2" activeTab="2" xr2:uid="{D181BF41-0045-44EC-9CC3-04FE146ADFF7}"/>
  </bookViews>
  <sheets>
    <sheet name="Wave 1 Equipment Inventory " sheetId="19" r:id="rId1"/>
    <sheet name="Wave 1 Equipment Decom" sheetId="20" r:id="rId2"/>
    <sheet name="Wave 2 Desktop SOW" sheetId="23" r:id="rId3"/>
    <sheet name="Workplace Group Counts" sheetId="22" r:id="rId4"/>
    <sheet name="Wave 2 Equipment Needs" sheetId="21" r:id="rId5"/>
  </sheets>
  <definedNames>
    <definedName name="_xlnm._FilterDatabase" localSheetId="1" hidden="1">'Wave 1 Equipment Decom'!$A$2:$BC$39</definedName>
    <definedName name="_xlnm._FilterDatabase" localSheetId="0" hidden="1">'Wave 1 Equipment Inventory '!$A$2:$BC$39</definedName>
    <definedName name="_xlnm._FilterDatabase" localSheetId="2" hidden="1">'Wave 2 Desktop SOW'!$A$2:$BG$2</definedName>
    <definedName name="_xlnm._FilterDatabase" localSheetId="4" hidden="1">'Wave 2 Equipment Needs'!$A$2:$BC$2</definedName>
    <definedName name="_xlnm._FilterDatabase" localSheetId="3" hidden="1">'Workplace Group Counts'!$A$1:$L$1</definedName>
    <definedName name="_xlnm.Print_Area" localSheetId="1">'Wave 1 Equipment Decom'!$A$2:$R$37</definedName>
    <definedName name="_xlnm.Print_Area" localSheetId="0">'Wave 1 Equipment Inventory '!$A$2:$R$37</definedName>
    <definedName name="_xlnm.Print_Area" localSheetId="2">'Wave 2 Desktop SOW'!$A$2:$U$2</definedName>
    <definedName name="_xlnm.Print_Area" localSheetId="4">'Wave 2 Equipment Needs'!$A$2:$R$2</definedName>
    <definedName name="_xlnm.Print_Area" localSheetId="3">'Workplace Group Counts'!$A$1:$B$1</definedName>
    <definedName name="_xlnm.Print_Titles" localSheetId="1">'Wave 1 Equipment Decom'!$2:$2</definedName>
    <definedName name="_xlnm.Print_Titles" localSheetId="0">'Wave 1 Equipment Inventory '!$2:$2</definedName>
    <definedName name="_xlnm.Print_Titles" localSheetId="2">'Wave 2 Desktop SOW'!$2:$2</definedName>
    <definedName name="_xlnm.Print_Titles" localSheetId="4">'Wave 2 Equipment Needs'!$2:$2</definedName>
    <definedName name="_xlnm.Print_Titles" localSheetId="3">'Workplace Group Counts'!$1:$1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27" i="23" l="1"/>
  <c r="BE29" i="23" s="1"/>
  <c r="BE19" i="23"/>
  <c r="BE8" i="23"/>
  <c r="BE30" i="23" s="1"/>
  <c r="BH27" i="23"/>
  <c r="BH29" i="23" s="1"/>
  <c r="BH19" i="23"/>
  <c r="BH8" i="23"/>
  <c r="BH30" i="23" s="1"/>
  <c r="BG27" i="23"/>
  <c r="BG29" i="23" s="1"/>
  <c r="BF27" i="23"/>
  <c r="BF29" i="23" s="1"/>
  <c r="BD27" i="23"/>
  <c r="BD29" i="23" s="1"/>
  <c r="BC27" i="23"/>
  <c r="BC29" i="23" s="1"/>
  <c r="BB27" i="23"/>
  <c r="BB29" i="23" s="1"/>
  <c r="BA27" i="23"/>
  <c r="BA29" i="23" s="1"/>
  <c r="AZ27" i="23"/>
  <c r="AZ29" i="23" s="1"/>
  <c r="AY27" i="23"/>
  <c r="AY29" i="23" s="1"/>
  <c r="AX27" i="23"/>
  <c r="AX29" i="23" s="1"/>
  <c r="AW27" i="23"/>
  <c r="AW29" i="23" s="1"/>
  <c r="AV27" i="23"/>
  <c r="AV29" i="23" s="1"/>
  <c r="AU27" i="23"/>
  <c r="AU29" i="23" s="1"/>
  <c r="AT27" i="23"/>
  <c r="AT29" i="23" s="1"/>
  <c r="AS27" i="23"/>
  <c r="AS29" i="23" s="1"/>
  <c r="AR27" i="23"/>
  <c r="AR29" i="23" s="1"/>
  <c r="AQ27" i="23"/>
  <c r="AQ29" i="23" s="1"/>
  <c r="AP27" i="23"/>
  <c r="AP29" i="23" s="1"/>
  <c r="BE33" i="23" l="1"/>
  <c r="BH33" i="23"/>
  <c r="BG19" i="23"/>
  <c r="BF19" i="23"/>
  <c r="BD19" i="23"/>
  <c r="BC19" i="23"/>
  <c r="BB19" i="23"/>
  <c r="BA19" i="23"/>
  <c r="AZ19" i="23"/>
  <c r="AY19" i="23"/>
  <c r="AX19" i="23"/>
  <c r="AW19" i="23"/>
  <c r="AV19" i="23"/>
  <c r="AU19" i="23"/>
  <c r="AT19" i="23"/>
  <c r="AS19" i="23"/>
  <c r="AR19" i="23"/>
  <c r="AQ19" i="23"/>
  <c r="AP19" i="23"/>
  <c r="BG8" i="23"/>
  <c r="BG30" i="23" s="1"/>
  <c r="BG33" i="23" s="1"/>
  <c r="BF8" i="23"/>
  <c r="BF30" i="23" s="1"/>
  <c r="BF33" i="23" s="1"/>
  <c r="BD8" i="23"/>
  <c r="BD30" i="23" s="1"/>
  <c r="BD33" i="23" s="1"/>
  <c r="BC8" i="23"/>
  <c r="BC30" i="23" s="1"/>
  <c r="BC33" i="23" s="1"/>
  <c r="BB8" i="23"/>
  <c r="BB30" i="23" s="1"/>
  <c r="BB33" i="23" s="1"/>
  <c r="BA8" i="23"/>
  <c r="BA30" i="23" s="1"/>
  <c r="BA33" i="23" s="1"/>
  <c r="AZ8" i="23"/>
  <c r="AZ30" i="23" s="1"/>
  <c r="AZ33" i="23" s="1"/>
  <c r="AY8" i="23"/>
  <c r="AY30" i="23" s="1"/>
  <c r="AY33" i="23" s="1"/>
  <c r="AX8" i="23"/>
  <c r="AX30" i="23" s="1"/>
  <c r="AX33" i="23" s="1"/>
  <c r="AW8" i="23"/>
  <c r="AW30" i="23" s="1"/>
  <c r="AW33" i="23" s="1"/>
  <c r="AV8" i="23"/>
  <c r="AV30" i="23" s="1"/>
  <c r="AV33" i="23" s="1"/>
  <c r="AU8" i="23"/>
  <c r="AU30" i="23" s="1"/>
  <c r="AU33" i="23" s="1"/>
  <c r="AT8" i="23"/>
  <c r="AT30" i="23" s="1"/>
  <c r="AT33" i="23" s="1"/>
  <c r="AS8" i="23"/>
  <c r="AS30" i="23" s="1"/>
  <c r="AS33" i="23" s="1"/>
  <c r="AR8" i="23"/>
  <c r="AR30" i="23" s="1"/>
  <c r="AR33" i="23" s="1"/>
  <c r="AQ8" i="23"/>
  <c r="AQ30" i="23" s="1"/>
  <c r="AQ33" i="23" s="1"/>
  <c r="AP8" i="23"/>
  <c r="AP30" i="23" s="1"/>
  <c r="AP33" i="23" s="1"/>
  <c r="BC20" i="21" l="1"/>
  <c r="BB20" i="21"/>
  <c r="BA20" i="21"/>
  <c r="AY20" i="21"/>
  <c r="AX20" i="21"/>
  <c r="AW20" i="21"/>
  <c r="AV20" i="21"/>
  <c r="AU20" i="21"/>
  <c r="AT20" i="21"/>
  <c r="AS20" i="21"/>
  <c r="AR20" i="21"/>
  <c r="AQ20" i="21"/>
  <c r="AP20" i="21"/>
  <c r="AO20" i="21"/>
  <c r="AN20" i="21"/>
  <c r="AM20" i="21"/>
  <c r="BC18" i="21"/>
  <c r="BB18" i="21"/>
  <c r="BA18" i="21"/>
  <c r="AZ18" i="21"/>
  <c r="AZ20" i="21" s="1"/>
  <c r="AY18" i="21"/>
  <c r="AX18" i="21"/>
  <c r="AW18" i="21"/>
  <c r="AV18" i="21"/>
  <c r="AU18" i="21"/>
  <c r="AR18" i="21"/>
  <c r="AT18" i="21"/>
  <c r="AS18" i="21"/>
  <c r="AQ18" i="21"/>
  <c r="AP18" i="21"/>
  <c r="AM18" i="21"/>
  <c r="AO18" i="21"/>
  <c r="AN18" i="21"/>
  <c r="L7" i="22"/>
  <c r="K7" i="22"/>
  <c r="J7" i="22"/>
  <c r="I7" i="22"/>
  <c r="H7" i="22"/>
  <c r="G7" i="22"/>
  <c r="F7" i="22"/>
  <c r="E7" i="22"/>
  <c r="D7" i="22"/>
  <c r="C7" i="22"/>
  <c r="BC8" i="21" l="1"/>
  <c r="BB8" i="21"/>
  <c r="BA8" i="21"/>
  <c r="AZ8" i="21"/>
  <c r="AY8" i="21"/>
  <c r="AX8" i="21"/>
  <c r="AW8" i="21"/>
  <c r="AV8" i="21"/>
  <c r="AU8" i="21"/>
  <c r="AT8" i="21"/>
  <c r="AS8" i="21"/>
  <c r="AR8" i="21"/>
  <c r="AQ8" i="21"/>
  <c r="AP8" i="21"/>
  <c r="AO8" i="21"/>
  <c r="AN8" i="21"/>
  <c r="AM8" i="21"/>
  <c r="BC58" i="20"/>
  <c r="BB58" i="20"/>
  <c r="BA58" i="20"/>
  <c r="AZ58" i="20"/>
  <c r="AY58" i="20"/>
  <c r="AX58" i="20"/>
  <c r="AW58" i="20"/>
  <c r="AV58" i="20"/>
  <c r="AU58" i="20"/>
  <c r="AT58" i="20"/>
  <c r="AS58" i="20"/>
  <c r="AR58" i="20"/>
  <c r="AQ58" i="20"/>
  <c r="AP58" i="20"/>
  <c r="AO58" i="20"/>
  <c r="AN58" i="20"/>
  <c r="AM58" i="20"/>
  <c r="BC51" i="20"/>
  <c r="BB49" i="20"/>
  <c r="BB51" i="20" s="1"/>
  <c r="BA49" i="20"/>
  <c r="BA51" i="20" s="1"/>
  <c r="AZ49" i="20"/>
  <c r="AZ51" i="20" s="1"/>
  <c r="AY49" i="20"/>
  <c r="AX49" i="20"/>
  <c r="AW49" i="20"/>
  <c r="AV49" i="20"/>
  <c r="AV51" i="20" s="1"/>
  <c r="AT49" i="20"/>
  <c r="AS49" i="20"/>
  <c r="AS51" i="20" s="1"/>
  <c r="AR49" i="20"/>
  <c r="AR51" i="20" s="1"/>
  <c r="AQ49" i="20"/>
  <c r="AQ51" i="20" s="1"/>
  <c r="AP49" i="20"/>
  <c r="AP51" i="20" s="1"/>
  <c r="AO49" i="20"/>
  <c r="AO51" i="20" s="1"/>
  <c r="AN49" i="20"/>
  <c r="AN51" i="20" s="1"/>
  <c r="AM49" i="20"/>
  <c r="AM51" i="20" s="1"/>
  <c r="BB49" i="19"/>
  <c r="BB51" i="19" s="1"/>
  <c r="AR49" i="19"/>
  <c r="AR51" i="19" s="1"/>
  <c r="AY49" i="19"/>
  <c r="AT49" i="19"/>
  <c r="AS49" i="19"/>
  <c r="AS51" i="19" s="1"/>
  <c r="AQ49" i="19"/>
  <c r="AQ51" i="19" s="1"/>
  <c r="AP49" i="19"/>
  <c r="AP51" i="19" s="1"/>
  <c r="AN49" i="19"/>
  <c r="AN51" i="19" s="1"/>
  <c r="AM49" i="19"/>
  <c r="AM51" i="19" s="1"/>
  <c r="BC51" i="19"/>
  <c r="AO49" i="19"/>
  <c r="AO51" i="19" s="1"/>
  <c r="BA49" i="19"/>
  <c r="BA51" i="19" s="1"/>
  <c r="AZ49" i="19"/>
  <c r="AZ51" i="19" s="1"/>
  <c r="AX49" i="19"/>
  <c r="AW49" i="19"/>
  <c r="AV49" i="19"/>
  <c r="AV51" i="19" s="1"/>
</calcChain>
</file>

<file path=xl/sharedStrings.xml><?xml version="1.0" encoding="utf-8"?>
<sst xmlns="http://schemas.openxmlformats.org/spreadsheetml/2006/main" count="1964" uniqueCount="307">
  <si>
    <t>Region/Building Type</t>
  </si>
  <si>
    <t>Site Contact for Access to Site</t>
  </si>
  <si>
    <t>Site Contact for Furniture and Equipment Delivery</t>
  </si>
  <si>
    <t>Site Name</t>
  </si>
  <si>
    <t>Location</t>
  </si>
  <si>
    <t>Decom</t>
  </si>
  <si>
    <t>Complete?</t>
  </si>
  <si>
    <t>Address</t>
  </si>
  <si>
    <t>Room #</t>
  </si>
  <si>
    <t>Confirmed Capacity</t>
  </si>
  <si>
    <t>Total Trainee Seat Count</t>
  </si>
  <si>
    <t>Virtual Seat Count</t>
  </si>
  <si>
    <t>Classroom Seat Count</t>
  </si>
  <si>
    <t>Classroom Count</t>
  </si>
  <si>
    <t>Trainer Count</t>
  </si>
  <si>
    <t>Reception Count</t>
  </si>
  <si>
    <t>Wave Designation</t>
  </si>
  <si>
    <t>Training Dates</t>
  </si>
  <si>
    <t>Approved Floor Plans Received</t>
  </si>
  <si>
    <t>TV Needed?</t>
  </si>
  <si>
    <t>TV Install Date</t>
  </si>
  <si>
    <t>LVC Est. Requested</t>
  </si>
  <si>
    <t>LVC Est. Received</t>
  </si>
  <si>
    <t>LVC PO Requested</t>
  </si>
  <si>
    <t>LVC PO Received</t>
  </si>
  <si>
    <t>LVC Estimated Start Dates</t>
  </si>
  <si>
    <t>LVC Estimated Finish Dates</t>
  </si>
  <si>
    <t>Network Connections Needed</t>
  </si>
  <si>
    <t>Network Switch Count</t>
  </si>
  <si>
    <t>Network Live</t>
  </si>
  <si>
    <t>Est. Desktop Equipment Start</t>
  </si>
  <si>
    <t>Est. Desktop Equipment Finish</t>
  </si>
  <si>
    <t>Est. Construction Completion</t>
  </si>
  <si>
    <t>Est. Furniture Set-Up</t>
  </si>
  <si>
    <t>Notes</t>
  </si>
  <si>
    <t>LVC DEMO PO</t>
  </si>
  <si>
    <t>AV Decom</t>
  </si>
  <si>
    <t>DESKTOP DECOM</t>
  </si>
  <si>
    <t>TIO</t>
  </si>
  <si>
    <t>24" Monitor</t>
  </si>
  <si>
    <t>Laptops</t>
  </si>
  <si>
    <t>Docking Station</t>
  </si>
  <si>
    <t>Keyboard &amp; Mouse</t>
  </si>
  <si>
    <t>Printer (Xerox)</t>
  </si>
  <si>
    <t>Printer (HP 611x)</t>
  </si>
  <si>
    <t>Printer (HP 4001)</t>
  </si>
  <si>
    <t>Ricoh Paper Scanner</t>
  </si>
  <si>
    <t>Zebra Wireless Barcode Scanner</t>
  </si>
  <si>
    <t>Honeywell  Wireless Barcode Scanner</t>
  </si>
  <si>
    <t>ZD421 Label Printers</t>
  </si>
  <si>
    <t>ZD621 Label Printers</t>
  </si>
  <si>
    <t>TV</t>
  </si>
  <si>
    <t>ClickShare</t>
  </si>
  <si>
    <t>MTR</t>
  </si>
  <si>
    <t>Network Switch + Cabinet</t>
  </si>
  <si>
    <t>Eastern/Hospital</t>
  </si>
  <si>
    <t>Thomas Chiasera/Marybeth Roehrig</t>
  </si>
  <si>
    <t>Eric Brown ebrown19@northwell.edu (631)548-6976</t>
  </si>
  <si>
    <t>PBMC</t>
  </si>
  <si>
    <t>Peconic</t>
  </si>
  <si>
    <t>N</t>
  </si>
  <si>
    <t>COMPLETE</t>
  </si>
  <si>
    <t>1  Heroes Wy, Riverhead, NY 11901</t>
  </si>
  <si>
    <t>Mercy Training Room - IN PERSON</t>
  </si>
  <si>
    <t>12/2/24 - 4/4/25</t>
  </si>
  <si>
    <t>7/25/2024 (Changed 11/24/24)</t>
  </si>
  <si>
    <t>86"</t>
  </si>
  <si>
    <t>9/4 - 9/18</t>
  </si>
  <si>
    <t>NOT NEEDED</t>
  </si>
  <si>
    <t>Needs trainer setup</t>
  </si>
  <si>
    <t>Western/Hospital</t>
  </si>
  <si>
    <t>Colleen Lyons</t>
  </si>
  <si>
    <t>Colleen Lyons 516-306-2032</t>
  </si>
  <si>
    <t>Lenox Health Hospital</t>
  </si>
  <si>
    <t>Manhattan</t>
  </si>
  <si>
    <t>100 E 77th St, New York, NY
Shipping Address: 107 East 76th St., NY,NY 10075</t>
  </si>
  <si>
    <t>Carmel Conf Classroom #2 - VIRTUAL</t>
  </si>
  <si>
    <t>N/A</t>
  </si>
  <si>
    <t>9/18 - 10/8</t>
  </si>
  <si>
    <t>Install  printer, remove garbage</t>
  </si>
  <si>
    <t>Central</t>
  </si>
  <si>
    <t>Elizabeth Infante</t>
  </si>
  <si>
    <t>Hospice</t>
  </si>
  <si>
    <t>Long Island</t>
  </si>
  <si>
    <t>1101 Stewart Ave, Garden City, 11530</t>
  </si>
  <si>
    <t>Training Room A - Room 319 - IN PERSON</t>
  </si>
  <si>
    <t>NEED TO CONFIRM</t>
  </si>
  <si>
    <t>HHH</t>
  </si>
  <si>
    <t>EXISTING</t>
  </si>
  <si>
    <t>TBD</t>
  </si>
  <si>
    <t>Central/Admin</t>
  </si>
  <si>
    <t>Michelle Freel/Emily Jandovitz</t>
  </si>
  <si>
    <t>John Sinnott/Tom Harris
(516) 359-0853 Engineer on Duty phone</t>
  </si>
  <si>
    <t>1111 Marcus - Former Rev Cycle Space</t>
  </si>
  <si>
    <t>1111 Marcus Avenue, Entrance E, Manhasset, NY 11042</t>
  </si>
  <si>
    <t>Bullpen - VIRTUAL</t>
  </si>
  <si>
    <t>Enterprise</t>
  </si>
  <si>
    <t>Western/Admin</t>
  </si>
  <si>
    <t>Lenox Health -IT Office</t>
  </si>
  <si>
    <t>115 E 77th St, New York, NY 10075</t>
  </si>
  <si>
    <t>2nd Floor Conf Room  VIRTUAL</t>
  </si>
  <si>
    <t>10/21/24 - 4/4/25</t>
  </si>
  <si>
    <t>Remove garbage</t>
  </si>
  <si>
    <t>Training Room A - IN PERSON</t>
  </si>
  <si>
    <t>65"</t>
  </si>
  <si>
    <t>Training Room B - IN PERSON</t>
  </si>
  <si>
    <t>Victoria Casani/Jackson Roberts</t>
  </si>
  <si>
    <t>Jackie Pinksbennett
Angela Ferferi</t>
  </si>
  <si>
    <t>Ambulatory Administrative Academy (AAA)</t>
  </si>
  <si>
    <r>
      <t>121 W 20</t>
    </r>
    <r>
      <rPr>
        <vertAlign val="superscript"/>
        <sz val="11"/>
        <color theme="1"/>
        <rFont val="Aptos Narrow"/>
        <family val="2"/>
        <scheme val="minor"/>
      </rPr>
      <t>th</t>
    </r>
    <r>
      <rPr>
        <sz val="11"/>
        <color theme="1"/>
        <rFont val="Aptos Narrow"/>
        <family val="2"/>
        <scheme val="minor"/>
      </rPr>
      <t xml:space="preserve"> Street, Entrance B, New York, NY 10011</t>
    </r>
  </si>
  <si>
    <t>Classroom - IN PERSON</t>
  </si>
  <si>
    <t>12/2/24 - 4/4/25 (01/20/25 according to Grace)</t>
  </si>
  <si>
    <t>Awaiting Quote</t>
  </si>
  <si>
    <t>Y</t>
  </si>
  <si>
    <t>Amanda Clark</t>
  </si>
  <si>
    <t>Amanda Clark: 516-401-4503                    
Nayda Miranda: 646-564-4050</t>
  </si>
  <si>
    <t>Workwell</t>
  </si>
  <si>
    <t xml:space="preserve">130 E. 59th Street - 15th Floor; 
Delivery Entrance: 129 E 58th Street </t>
  </si>
  <si>
    <t>15th Floor Conference Room 1502 - VIRTUAL</t>
  </si>
  <si>
    <t>Remove (2) TIO's, install trainer setup, remove garbage</t>
  </si>
  <si>
    <t>PO received, awaiting scheduling</t>
  </si>
  <si>
    <t>Meleah Childers</t>
  </si>
  <si>
    <t>SIUH General Admin (South)</t>
  </si>
  <si>
    <t>Staten Island</t>
  </si>
  <si>
    <t>2 Teleport Dr, Suite 300 Staten Island, NY 10306</t>
  </si>
  <si>
    <t>200-08 (Small Training) - IN PERSON</t>
  </si>
  <si>
    <t>200-07 (Large Training) - IN PERSON</t>
  </si>
  <si>
    <t>Rowena Ancheta 212-7027565
Colleen Lyons 516-306-2032</t>
  </si>
  <si>
    <t>MEETH</t>
  </si>
  <si>
    <t>210 E 64th St, New York, NY 10065</t>
  </si>
  <si>
    <t>Blue Room - VIRTUAL</t>
  </si>
  <si>
    <t>Eastern/Admin</t>
  </si>
  <si>
    <t>Anthonette Rupolo</t>
  </si>
  <si>
    <t>Anthonette Rupolo 516-549-3149</t>
  </si>
  <si>
    <t>Information Services</t>
  </si>
  <si>
    <t>3 Huntington Quadrangle, Melville, NY 11747</t>
  </si>
  <si>
    <t>103 - IN PERSON</t>
  </si>
  <si>
    <t>10/21/24 - 4/2/26</t>
  </si>
  <si>
    <t>101 - IN PERSON</t>
  </si>
  <si>
    <t>11/4/24 - 4/2/26</t>
  </si>
  <si>
    <t>249 - VIRTUAL</t>
  </si>
  <si>
    <t>10/7/24 - 4/2/26</t>
  </si>
  <si>
    <t>Gillian Glenn gmangan@northwell.edu
Colleen Lyons 516-306-2032</t>
  </si>
  <si>
    <t>Lenox Health Greenwich Village</t>
  </si>
  <si>
    <t>30 7th Ave, New York, NY 10011
Delivery Address: 219 West 12th St.  
New York, New York 10011</t>
  </si>
  <si>
    <t>Conference Room (cellar) 75 - VIRTUAL</t>
  </si>
  <si>
    <t>Install printer, complete dual monitor setups, remove extra equipment, remove garbage</t>
  </si>
  <si>
    <t>330 South Service Rd, Melville, NY 11747</t>
  </si>
  <si>
    <t>127-08</t>
  </si>
  <si>
    <t>Meagan Sills</t>
  </si>
  <si>
    <t xml:space="preserve">Daniel Yurkins (646) 584-6136 </t>
  </si>
  <si>
    <t xml:space="preserve">SIUH Prince's Bay </t>
  </si>
  <si>
    <t>375 Seguine Ave, Staten Island, NY 10309</t>
  </si>
  <si>
    <t>1st Floor training room - VIRTUAL</t>
  </si>
  <si>
    <t>Needs dual monitors</t>
  </si>
  <si>
    <t>Northern/Hospital</t>
  </si>
  <si>
    <t>Devys Rivera</t>
  </si>
  <si>
    <t>Frank Luback/Christina Texeira</t>
  </si>
  <si>
    <t>N Westchester Hospital</t>
  </si>
  <si>
    <t>Westchester</t>
  </si>
  <si>
    <t>400 Main St., Mt Kisco 10549</t>
  </si>
  <si>
    <t>G29 - IT Computer Room</t>
  </si>
  <si>
    <t>NO CABLING NEEDED</t>
  </si>
  <si>
    <t>Kevin Singh (Realestate Services)</t>
  </si>
  <si>
    <t>Kelvin Singh: 516-421-2483</t>
  </si>
  <si>
    <t>420 Lakeville</t>
  </si>
  <si>
    <t>420 Lakeville Rd, New Hyde Park, NY 11042</t>
  </si>
  <si>
    <t>218 - IN PERSON</t>
  </si>
  <si>
    <t>75"</t>
  </si>
  <si>
    <t>11/19/24 - 11/20/24</t>
  </si>
  <si>
    <t>236B - IN PERSON</t>
  </si>
  <si>
    <t>204 - IN PERSON</t>
  </si>
  <si>
    <t>220 - IN PERSON</t>
  </si>
  <si>
    <t>242 - IN PERSON</t>
  </si>
  <si>
    <t>243 - IN PERSON</t>
  </si>
  <si>
    <t>244 - IN PERSON</t>
  </si>
  <si>
    <t>251 - IN PERSON</t>
  </si>
  <si>
    <t>252 - IN PERSON</t>
  </si>
  <si>
    <t>205 - IN PERSON</t>
  </si>
  <si>
    <t>(2) 75"</t>
  </si>
  <si>
    <t>203 - IN PERSON</t>
  </si>
  <si>
    <t>SIUH North</t>
  </si>
  <si>
    <t>500 Seaview, Staten Island, NY 10305</t>
  </si>
  <si>
    <t>Suite 230A-Facilities - VIRTUAL</t>
  </si>
  <si>
    <t>Western</t>
  </si>
  <si>
    <t>540 White Plains Road, Suite 300, Tarrytown, N 10591</t>
  </si>
  <si>
    <t>McCann Conference Room - Room 333 - IN PERSON</t>
  </si>
  <si>
    <t>12/16/24 - 4/2/26</t>
  </si>
  <si>
    <t>Room 326 - IN PERSON</t>
  </si>
  <si>
    <t>12/16/24 - 04/04/25</t>
  </si>
  <si>
    <t>75" VIA HDMI CABLE</t>
  </si>
  <si>
    <t>Melanie Anderson</t>
  </si>
  <si>
    <t>Nicholas Singer/Giovanna Conti-Robles 914-366-3228</t>
  </si>
  <si>
    <t>Phelps Hospital</t>
  </si>
  <si>
    <t>701 N Broadway, Sleepy Hollow, NY 10591</t>
  </si>
  <si>
    <t>C level training center - IN PERSON</t>
  </si>
  <si>
    <t>78 Meisner Ave. Staten Island, NY 10306</t>
  </si>
  <si>
    <t>conference table/moved previously - IN PERSON</t>
  </si>
  <si>
    <t>2 Park Ave, New York, NY 10016</t>
  </si>
  <si>
    <t>Conference Room 18-04 - IN PERSON</t>
  </si>
  <si>
    <t>4 + 4 SP + Trainer</t>
  </si>
  <si>
    <t>1200 South Ave, Staten Island, NY</t>
  </si>
  <si>
    <t>Conference Room 326 - IN PERSON</t>
  </si>
  <si>
    <t>75 Rockefeller Plaza, New York, NY</t>
  </si>
  <si>
    <t>Manhattan Regional Training Hub</t>
  </si>
  <si>
    <t>07/07/25 - 12/31/25</t>
  </si>
  <si>
    <t>(xx) 86"</t>
  </si>
  <si>
    <t>480 Bedford Road, Chappaqua, NY</t>
  </si>
  <si>
    <t>Westchester Regional Training Hub</t>
  </si>
  <si>
    <t>04/21/25 - 04/22/25</t>
  </si>
  <si>
    <t>1441 South Ave, Staten Island, NY 10305</t>
  </si>
  <si>
    <t>Staten Island Regional Training Hub</t>
  </si>
  <si>
    <t>04/17/25 - 04/18/25</t>
  </si>
  <si>
    <t>2 Teleport Dr, Staten Island, NY 10305</t>
  </si>
  <si>
    <t>3rd Floor Conference Room</t>
  </si>
  <si>
    <t>Nassau</t>
  </si>
  <si>
    <t>420 Lakville Road, Lake Success, NY</t>
  </si>
  <si>
    <t>Nassua Regional Training Hub</t>
  </si>
  <si>
    <t>104 (new)</t>
  </si>
  <si>
    <t>Eastern</t>
  </si>
  <si>
    <t>Suffolk</t>
  </si>
  <si>
    <t>330 South Service Road, Melville, NY</t>
  </si>
  <si>
    <t>Suffolk Regional Training Hub</t>
  </si>
  <si>
    <t>Ray Wilson</t>
  </si>
  <si>
    <t>04/14/25 - 04/15/25</t>
  </si>
  <si>
    <t>All</t>
  </si>
  <si>
    <t>Existing Rooms + HHH</t>
  </si>
  <si>
    <t>CURRENT</t>
  </si>
  <si>
    <t>SUB TOTAL</t>
  </si>
  <si>
    <t>EQUIPMENT (STORAGE/DECOMMISSIONED/ ON HAND)</t>
  </si>
  <si>
    <t>TOTAL NEEDED FOR PURCHASE</t>
  </si>
  <si>
    <t>Y (PARTIAL)</t>
  </si>
  <si>
    <t>Y (ALL)</t>
  </si>
  <si>
    <t>TOTAL NEEDED FOR QUEENS</t>
  </si>
  <si>
    <t>TOTAL NEEDED FOR NASSAU</t>
  </si>
  <si>
    <t>Installation Date</t>
  </si>
  <si>
    <t>POC</t>
  </si>
  <si>
    <t>POC Contact Info</t>
  </si>
  <si>
    <t>Rolling Carts</t>
  </si>
  <si>
    <t>Phones</t>
  </si>
  <si>
    <t>PHASE 1 DECOM: Manhattan Regional Training Hub</t>
  </si>
  <si>
    <t>PHASE 1 DECOM: Westchester Regional Training Hub</t>
  </si>
  <si>
    <t>PHASE 1 DECOM: Staten Island Regional Training Hub</t>
  </si>
  <si>
    <t>PHASE 1 DECOM: 3rd Floor Conference Room</t>
  </si>
  <si>
    <t>PHASE 1 DECOM SUB TOTAL</t>
  </si>
  <si>
    <t>Queens</t>
  </si>
  <si>
    <t>7559 263rd St, Glen Oaks, NY 11004</t>
  </si>
  <si>
    <t>Zucker Hillside Hospital - ACP Building - RM 2301</t>
  </si>
  <si>
    <t>Justin Healy</t>
  </si>
  <si>
    <t>Teams or 516-618-3343</t>
  </si>
  <si>
    <t>(Annex Bldg) 99-31 66th Ave, Forest Hills, NY 11375</t>
  </si>
  <si>
    <t>LIJ Forest Hills Hospital - Medical Library Annex Bldg</t>
  </si>
  <si>
    <t>Agnes Morales</t>
  </si>
  <si>
    <t>Teams</t>
  </si>
  <si>
    <t>900 Franklin Ave, Valley Stream, NY 11580</t>
  </si>
  <si>
    <t>LIJ Valley Stream Hospital - Nursing Ed</t>
  </si>
  <si>
    <t>Dino Vecchione</t>
  </si>
  <si>
    <t>269-01 76th Ave, New Hyde Park, NY 11040</t>
  </si>
  <si>
    <t>Cohen Children's Medical Center - Medical Library C-level</t>
  </si>
  <si>
    <t>221 Jericho Turnpike, Syosset, NY 11791</t>
  </si>
  <si>
    <t>Syosset Hospital - Employee Resource Room (lobby)</t>
  </si>
  <si>
    <t>Brian McKnight</t>
  </si>
  <si>
    <t>Teams or 631-807-8693</t>
  </si>
  <si>
    <t>410 Lakeville Rd, New Hyde Park, NY 11042</t>
  </si>
  <si>
    <t>LIJ Medical Center - Medical Library C-level</t>
  </si>
  <si>
    <t>Ahmed Abdelaziz</t>
  </si>
  <si>
    <t>300 Community Dr, Manhasset, NY 11030</t>
  </si>
  <si>
    <t>North Shore University Hospital - PSP 6ICU 6A101 Conf Rm (Deploy last)</t>
  </si>
  <si>
    <t>Karl Solivan</t>
  </si>
  <si>
    <t>888 Pld Country Rd, Plainview, NY 11803</t>
  </si>
  <si>
    <t>Plainview Hospital - Basement Team Lounge</t>
  </si>
  <si>
    <t>Bryant Levy</t>
  </si>
  <si>
    <t>Teams or 516-254-9611</t>
  </si>
  <si>
    <t>101 St. Andrews Ln, Glen Cove, NY 11542</t>
  </si>
  <si>
    <t>Glen Cove Hospital - L-Building Family Medicine Waiting Rm</t>
  </si>
  <si>
    <t>Nishant Bagul</t>
  </si>
  <si>
    <t>TEST OUR &amp; REGISTRATION SUB TOTAL</t>
  </si>
  <si>
    <t>PHASE 2 DECOM: Manhattan Regional Training Hub</t>
  </si>
  <si>
    <t>PHASE 2 DECOM: Westchester Regional Training Hub</t>
  </si>
  <si>
    <t>PHASE 2 DECOM: TOTAL</t>
  </si>
  <si>
    <t>SUB TOTALS FOR WAVE 2</t>
  </si>
  <si>
    <t>QUEENS TRAINING HUB</t>
  </si>
  <si>
    <t>11/17/25 - 11/29/25</t>
  </si>
  <si>
    <t>JERICHO TRAINING HUB</t>
  </si>
  <si>
    <t>11/06/25 - 11/16/25</t>
  </si>
  <si>
    <t>TEST OUT &amp; REGISTRATION CENTERS</t>
  </si>
  <si>
    <t>10/27/25 - 10/31/25</t>
  </si>
  <si>
    <t>10% BREAK / FIX</t>
  </si>
  <si>
    <t>TOTAL NEEDED FOR WAVE 2</t>
  </si>
  <si>
    <t>EQUIPMENT (1 MARCUS STORAGE/ON HAND)</t>
  </si>
  <si>
    <t>TOTAL NET NEW NEEDS</t>
  </si>
  <si>
    <t>PURCHASED ON PO # 7025053387</t>
  </si>
  <si>
    <t>DAY 1 DECOM: Manhattan Regional Training Hub</t>
  </si>
  <si>
    <t>DAY 1 DECOM: Westchester Regional Training Hub</t>
  </si>
  <si>
    <t>DAY 1 DECOM: Staten Island Regional Training Hub</t>
  </si>
  <si>
    <t>DAY 1 DECOM: 3rd Floor Conference Room</t>
  </si>
  <si>
    <t>DAY 1 DECOM: TOTAL</t>
  </si>
  <si>
    <t>DAY 2 DECOM: Manhattan Regional Training Hub</t>
  </si>
  <si>
    <t>DAY 2 DECOM: Westchester Regional Training Hub</t>
  </si>
  <si>
    <t>DAY 2 DECOM: TOTAL</t>
  </si>
  <si>
    <t>DAY 1 DECOM SUB TOTAL</t>
  </si>
  <si>
    <t>96-05 Queens Blvd, New York, NY 11374</t>
  </si>
  <si>
    <t>Queens Training Hub</t>
  </si>
  <si>
    <t>200 Jericho Turnpike, Jericho, NY 11753</t>
  </si>
  <si>
    <t>Jericho Training Hub</t>
  </si>
  <si>
    <t>(9) TOTAL LOCATIONS</t>
  </si>
  <si>
    <t>TOTAL NET NEW NEEDS + BREAK / 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</si>
</sst>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Aptos Narrow"/>
      <family val="2"/>
      <scheme val="minor"/>
    </font>
    <font>
      <b/>
      <sz val="10.5"/>
      <color theme="0"/>
      <name val="Arial"/>
      <family val="2"/>
    </font>
    <font>
      <sz val="1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1" xfId="0" applyFont="1" applyFill="1" applyBorder="1" applyAlignment="1">
      <alignment horizontal="center" vertical="center" wrapText="1" readingOrder="1"/>
    </xf>
    <xf numFmtId="0" fontId="3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  <xf numFmtId="14" fontId="0" fillId="0" borderId="1" xfId="0" applyNumberFormat="1" applyBorder="1" applyAlignment="1">
      <alignment horizontal="left"/>
    </xf>
    <xf numFmtId="0" fontId="0" fillId="4" borderId="1" xfId="0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right"/>
    </xf>
    <xf numFmtId="14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5" borderId="0" xfId="0" applyFill="1"/>
    <xf numFmtId="0" fontId="0" fillId="5" borderId="1" xfId="0" applyFill="1" applyBorder="1" applyAlignment="1">
      <alignment horizontal="right"/>
    </xf>
    <xf numFmtId="0" fontId="0" fillId="6" borderId="0" xfId="0" applyFill="1"/>
    <xf numFmtId="0" fontId="0" fillId="6" borderId="1" xfId="0" applyFill="1" applyBorder="1" applyAlignment="1">
      <alignment horizontal="right"/>
    </xf>
    <xf numFmtId="0" fontId="0" fillId="3" borderId="1" xfId="0" applyFill="1" applyBorder="1" applyAlignment="1">
      <alignment horizontal="left" wrapText="1"/>
    </xf>
    <xf numFmtId="16" fontId="2" fillId="0" borderId="1" xfId="0" applyNumberFormat="1" applyFont="1" applyBorder="1" applyAlignment="1">
      <alignment horizontal="left"/>
    </xf>
    <xf numFmtId="0" fontId="3" fillId="0" borderId="1" xfId="0" applyFont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0" fillId="4" borderId="1" xfId="0" applyFill="1" applyBorder="1"/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8" borderId="1" xfId="0" applyFill="1" applyBorder="1" applyAlignment="1">
      <alignment horizontal="right"/>
    </xf>
    <xf numFmtId="0" fontId="0" fillId="8" borderId="1" xfId="0" applyFill="1" applyBorder="1"/>
    <xf numFmtId="0" fontId="0" fillId="6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right"/>
    </xf>
    <xf numFmtId="14" fontId="0" fillId="0" borderId="0" xfId="0" applyNumberFormat="1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3" xfId="0" applyBorder="1"/>
    <xf numFmtId="0" fontId="0" fillId="0" borderId="2" xfId="0" applyBorder="1" applyAlignment="1">
      <alignment horizontal="center" wrapText="1"/>
    </xf>
    <xf numFmtId="0" fontId="0" fillId="10" borderId="1" xfId="0" applyFill="1" applyBorder="1"/>
    <xf numFmtId="0" fontId="0" fillId="10" borderId="1" xfId="0" applyFill="1" applyBorder="1" applyAlignment="1">
      <alignment horizontal="right"/>
    </xf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6" fillId="5" borderId="1" xfId="0" applyFont="1" applyFill="1" applyBorder="1"/>
    <xf numFmtId="0" fontId="0" fillId="0" borderId="4" xfId="0" applyBorder="1" applyAlignment="1">
      <alignment horizontal="center" wrapText="1"/>
    </xf>
    <xf numFmtId="14" fontId="0" fillId="0" borderId="1" xfId="0" applyNumberFormat="1" applyBorder="1" applyAlignment="1">
      <alignment horizontal="right"/>
    </xf>
    <xf numFmtId="0" fontId="5" fillId="0" borderId="0" xfId="0" applyFont="1" applyAlignment="1">
      <alignment horizontal="left" wrapText="1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B46AB-8D89-4AB6-8BCB-F54F5FFCA7F2}">
  <sheetPr>
    <pageSetUpPr fitToPage="1"/>
  </sheetPr>
  <dimension ref="A1:BC51"/>
  <sheetViews>
    <sheetView topLeftCell="F1" zoomScaleNormal="100" workbookViewId="0">
      <pane ySplit="2" topLeftCell="A3" activePane="bottomLeft" state="frozen"/>
      <selection pane="bottomLeft" activeCell="F1" sqref="F1"/>
    </sheetView>
  </sheetViews>
  <sheetFormatPr defaultRowHeight="14.45"/>
  <cols>
    <col min="1" max="1" width="19.42578125" customWidth="1"/>
    <col min="2" max="2" width="30.140625" style="3" hidden="1" customWidth="1"/>
    <col min="3" max="3" width="30.140625" hidden="1" customWidth="1"/>
    <col min="4" max="4" width="40.7109375" hidden="1" customWidth="1"/>
    <col min="5" max="7" width="14.42578125" customWidth="1"/>
    <col min="8" max="8" width="43.7109375" customWidth="1"/>
    <col min="9" max="9" width="46.140625" customWidth="1"/>
    <col min="10" max="10" width="20.85546875" style="4" customWidth="1"/>
    <col min="11" max="16" width="20.85546875" style="4" hidden="1" customWidth="1"/>
    <col min="17" max="17" width="15.28515625" hidden="1" customWidth="1"/>
    <col min="18" max="18" width="17.5703125" hidden="1" customWidth="1"/>
    <col min="19" max="19" width="14.140625" hidden="1" customWidth="1"/>
    <col min="20" max="20" width="21.42578125" hidden="1" customWidth="1"/>
    <col min="21" max="28" width="14.140625" hidden="1" customWidth="1"/>
    <col min="29" max="29" width="16.7109375" hidden="1" customWidth="1"/>
    <col min="30" max="34" width="14.140625" hidden="1" customWidth="1"/>
    <col min="35" max="35" width="68.85546875" hidden="1" customWidth="1"/>
    <col min="36" max="38" width="16" hidden="1" customWidth="1"/>
    <col min="39" max="39" width="9" style="11" customWidth="1"/>
    <col min="40" max="40" width="8.85546875" style="11" customWidth="1"/>
    <col min="41" max="41" width="8.85546875" customWidth="1"/>
    <col min="42" max="42" width="8.85546875" style="11" customWidth="1"/>
    <col min="43" max="43" width="11.5703125" style="11" customWidth="1"/>
    <col min="44" max="47" width="8.85546875" style="11" customWidth="1"/>
    <col min="48" max="48" width="10.85546875" style="11" customWidth="1"/>
    <col min="49" max="49" width="11.28515625" style="11" customWidth="1"/>
    <col min="50" max="51" width="8.85546875" style="11" customWidth="1"/>
    <col min="52" max="52" width="9.85546875" style="11" customWidth="1"/>
    <col min="53" max="54" width="11.28515625" style="11" customWidth="1"/>
    <col min="55" max="55" width="13" style="11" customWidth="1"/>
  </cols>
  <sheetData>
    <row r="1" spans="1:55" ht="54" customHeight="1">
      <c r="AG1" s="49"/>
      <c r="AH1" s="49"/>
    </row>
    <row r="2" spans="1:55" ht="55.1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6" t="s">
        <v>18</v>
      </c>
      <c r="T2" s="6" t="s">
        <v>19</v>
      </c>
      <c r="U2" s="6" t="s">
        <v>20</v>
      </c>
      <c r="V2" s="6" t="s">
        <v>21</v>
      </c>
      <c r="W2" s="6" t="s">
        <v>22</v>
      </c>
      <c r="X2" s="6" t="s">
        <v>23</v>
      </c>
      <c r="Y2" s="6" t="s">
        <v>24</v>
      </c>
      <c r="Z2" s="6" t="s">
        <v>25</v>
      </c>
      <c r="AA2" s="6" t="s">
        <v>26</v>
      </c>
      <c r="AB2" s="6" t="s">
        <v>27</v>
      </c>
      <c r="AC2" s="6" t="s">
        <v>28</v>
      </c>
      <c r="AD2" s="6" t="s">
        <v>29</v>
      </c>
      <c r="AE2" s="6" t="s">
        <v>30</v>
      </c>
      <c r="AF2" s="6" t="s">
        <v>31</v>
      </c>
      <c r="AG2" s="6" t="s">
        <v>32</v>
      </c>
      <c r="AH2" s="6" t="s">
        <v>33</v>
      </c>
      <c r="AI2" s="1" t="s">
        <v>34</v>
      </c>
      <c r="AJ2" s="1" t="s">
        <v>35</v>
      </c>
      <c r="AK2" s="1" t="s">
        <v>36</v>
      </c>
      <c r="AL2" s="1" t="s">
        <v>37</v>
      </c>
      <c r="AM2" s="1" t="s">
        <v>38</v>
      </c>
      <c r="AN2" s="1" t="s">
        <v>39</v>
      </c>
      <c r="AO2" s="1" t="s">
        <v>40</v>
      </c>
      <c r="AP2" s="1" t="s">
        <v>41</v>
      </c>
      <c r="AQ2" s="1" t="s">
        <v>42</v>
      </c>
      <c r="AR2" s="1" t="s">
        <v>43</v>
      </c>
      <c r="AS2" s="1" t="s">
        <v>44</v>
      </c>
      <c r="AT2" s="1" t="s">
        <v>45</v>
      </c>
      <c r="AU2" s="1" t="s">
        <v>46</v>
      </c>
      <c r="AV2" s="1" t="s">
        <v>47</v>
      </c>
      <c r="AW2" s="1" t="s">
        <v>48</v>
      </c>
      <c r="AX2" s="1" t="s">
        <v>49</v>
      </c>
      <c r="AY2" s="1" t="s">
        <v>50</v>
      </c>
      <c r="AZ2" s="1" t="s">
        <v>51</v>
      </c>
      <c r="BA2" s="1" t="s">
        <v>52</v>
      </c>
      <c r="BB2" s="1" t="s">
        <v>53</v>
      </c>
      <c r="BC2" s="1" t="s">
        <v>54</v>
      </c>
    </row>
    <row r="3" spans="1:55" ht="15.4" customHeight="1">
      <c r="A3" s="7" t="s">
        <v>55</v>
      </c>
      <c r="B3" s="8" t="s">
        <v>56</v>
      </c>
      <c r="C3" s="8" t="s">
        <v>57</v>
      </c>
      <c r="D3" s="7" t="s">
        <v>58</v>
      </c>
      <c r="E3" s="7" t="s">
        <v>59</v>
      </c>
      <c r="F3" s="7" t="s">
        <v>60</v>
      </c>
      <c r="G3" s="9" t="s">
        <v>61</v>
      </c>
      <c r="H3" s="7" t="s">
        <v>62</v>
      </c>
      <c r="I3" s="7" t="s">
        <v>63</v>
      </c>
      <c r="J3" s="8">
        <v>15</v>
      </c>
      <c r="K3" s="8"/>
      <c r="L3" s="8"/>
      <c r="M3" s="8"/>
      <c r="N3" s="8"/>
      <c r="O3" s="8"/>
      <c r="P3" s="8"/>
      <c r="Q3" s="7">
        <v>1</v>
      </c>
      <c r="R3" s="7" t="s">
        <v>64</v>
      </c>
      <c r="S3" s="9" t="s">
        <v>65</v>
      </c>
      <c r="T3" s="9" t="s">
        <v>66</v>
      </c>
      <c r="U3" s="9">
        <v>45623</v>
      </c>
      <c r="V3" s="9">
        <v>45546</v>
      </c>
      <c r="W3" s="9">
        <v>45558</v>
      </c>
      <c r="X3" s="9">
        <v>45559</v>
      </c>
      <c r="Y3" s="9">
        <v>45565</v>
      </c>
      <c r="Z3" s="9">
        <v>45593</v>
      </c>
      <c r="AA3" s="9">
        <v>45596</v>
      </c>
      <c r="AB3" s="7">
        <v>16</v>
      </c>
      <c r="AC3" s="7">
        <v>1</v>
      </c>
      <c r="AD3" s="9">
        <v>41944</v>
      </c>
      <c r="AE3" s="9">
        <v>45587</v>
      </c>
      <c r="AF3" s="9">
        <v>45590</v>
      </c>
      <c r="AG3" s="7" t="s">
        <v>67</v>
      </c>
      <c r="AH3" s="7" t="s">
        <v>68</v>
      </c>
      <c r="AI3" s="12" t="s">
        <v>69</v>
      </c>
      <c r="AJ3" s="12"/>
      <c r="AK3" s="12"/>
      <c r="AL3" s="12"/>
      <c r="AM3" s="12">
        <v>0</v>
      </c>
      <c r="AN3" s="12">
        <v>10</v>
      </c>
      <c r="AO3" s="12">
        <v>0</v>
      </c>
      <c r="AP3" s="12">
        <v>0</v>
      </c>
      <c r="AQ3" s="12">
        <v>1</v>
      </c>
      <c r="AR3" s="12">
        <v>0</v>
      </c>
      <c r="AS3" s="12">
        <v>0</v>
      </c>
      <c r="AT3" s="12">
        <v>0</v>
      </c>
      <c r="AU3" s="12"/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3">
        <v>0</v>
      </c>
    </row>
    <row r="4" spans="1:55" ht="15.4" customHeight="1">
      <c r="A4" s="7" t="s">
        <v>70</v>
      </c>
      <c r="B4" s="8" t="s">
        <v>71</v>
      </c>
      <c r="C4" s="7" t="s">
        <v>72</v>
      </c>
      <c r="D4" s="7" t="s">
        <v>73</v>
      </c>
      <c r="E4" s="7" t="s">
        <v>74</v>
      </c>
      <c r="F4" s="7" t="s">
        <v>60</v>
      </c>
      <c r="G4" s="9" t="s">
        <v>61</v>
      </c>
      <c r="H4" s="8" t="s">
        <v>75</v>
      </c>
      <c r="I4" s="7" t="s">
        <v>76</v>
      </c>
      <c r="J4" s="8">
        <v>19</v>
      </c>
      <c r="K4" s="8"/>
      <c r="L4" s="8"/>
      <c r="M4" s="8"/>
      <c r="N4" s="8"/>
      <c r="O4" s="8"/>
      <c r="P4" s="8"/>
      <c r="Q4" s="7">
        <v>1</v>
      </c>
      <c r="R4" s="7" t="s">
        <v>64</v>
      </c>
      <c r="S4" s="9">
        <v>45498</v>
      </c>
      <c r="T4" s="9" t="s">
        <v>77</v>
      </c>
      <c r="U4" s="7" t="s">
        <v>77</v>
      </c>
      <c r="V4" s="9">
        <v>45546</v>
      </c>
      <c r="W4" s="9">
        <v>45559</v>
      </c>
      <c r="X4" s="9">
        <v>45559</v>
      </c>
      <c r="Y4" s="9">
        <v>45567</v>
      </c>
      <c r="Z4" s="9">
        <v>45577</v>
      </c>
      <c r="AA4" s="9">
        <v>45583</v>
      </c>
      <c r="AB4" s="7">
        <v>19</v>
      </c>
      <c r="AC4" s="7">
        <v>1</v>
      </c>
      <c r="AD4" s="9">
        <v>41933</v>
      </c>
      <c r="AE4" s="9">
        <v>45587</v>
      </c>
      <c r="AF4" s="9">
        <v>45583</v>
      </c>
      <c r="AG4" s="7" t="s">
        <v>78</v>
      </c>
      <c r="AH4" s="9">
        <v>45582</v>
      </c>
      <c r="AI4" s="12" t="s">
        <v>79</v>
      </c>
      <c r="AJ4" s="12"/>
      <c r="AK4" s="12"/>
      <c r="AL4" s="12"/>
      <c r="AM4" s="12">
        <v>0</v>
      </c>
      <c r="AN4" s="12">
        <v>2</v>
      </c>
      <c r="AO4" s="12">
        <v>0</v>
      </c>
      <c r="AP4" s="12">
        <v>1</v>
      </c>
      <c r="AQ4" s="12">
        <v>1</v>
      </c>
      <c r="AR4" s="12">
        <v>0</v>
      </c>
      <c r="AS4" s="12">
        <v>0</v>
      </c>
      <c r="AT4" s="12">
        <v>0</v>
      </c>
      <c r="AU4" s="12"/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3">
        <v>0</v>
      </c>
    </row>
    <row r="5" spans="1:55" ht="15.4" customHeight="1">
      <c r="A5" s="7" t="s">
        <v>80</v>
      </c>
      <c r="B5" s="8" t="s">
        <v>81</v>
      </c>
      <c r="C5" s="7"/>
      <c r="D5" s="7" t="s">
        <v>82</v>
      </c>
      <c r="E5" s="7" t="s">
        <v>83</v>
      </c>
      <c r="F5" s="7" t="s">
        <v>60</v>
      </c>
      <c r="G5" s="7" t="s">
        <v>61</v>
      </c>
      <c r="H5" s="8" t="s">
        <v>84</v>
      </c>
      <c r="I5" s="7" t="s">
        <v>85</v>
      </c>
      <c r="J5" s="8">
        <v>15</v>
      </c>
      <c r="K5" s="8"/>
      <c r="L5" s="22" t="s">
        <v>86</v>
      </c>
      <c r="M5" s="8"/>
      <c r="N5" s="8"/>
      <c r="O5" s="8"/>
      <c r="P5" s="8"/>
      <c r="Q5" s="7" t="s">
        <v>87</v>
      </c>
      <c r="R5" s="7" t="s">
        <v>64</v>
      </c>
      <c r="S5" s="9">
        <v>45601</v>
      </c>
      <c r="T5" s="7" t="s">
        <v>88</v>
      </c>
      <c r="U5" s="7" t="s">
        <v>77</v>
      </c>
      <c r="V5" s="7" t="s">
        <v>77</v>
      </c>
      <c r="W5" s="7" t="s">
        <v>77</v>
      </c>
      <c r="X5" s="7" t="s">
        <v>77</v>
      </c>
      <c r="Y5" s="7" t="s">
        <v>77</v>
      </c>
      <c r="Z5" s="7" t="s">
        <v>77</v>
      </c>
      <c r="AA5" s="7" t="s">
        <v>77</v>
      </c>
      <c r="AB5" s="7" t="s">
        <v>89</v>
      </c>
      <c r="AC5" s="7">
        <v>1</v>
      </c>
      <c r="AD5" s="9">
        <v>45622</v>
      </c>
      <c r="AE5" s="9">
        <v>45608</v>
      </c>
      <c r="AF5" s="9">
        <v>45623</v>
      </c>
      <c r="AG5" s="7" t="s">
        <v>89</v>
      </c>
      <c r="AH5" s="7" t="s">
        <v>68</v>
      </c>
      <c r="AI5" s="12"/>
      <c r="AJ5" s="12"/>
      <c r="AK5" s="12"/>
      <c r="AL5" s="12"/>
      <c r="AM5" s="14">
        <v>0</v>
      </c>
      <c r="AN5" s="14">
        <v>12</v>
      </c>
      <c r="AO5" s="14">
        <v>0</v>
      </c>
      <c r="AP5" s="14">
        <v>0</v>
      </c>
      <c r="AQ5" s="14">
        <v>0</v>
      </c>
      <c r="AR5" s="14">
        <v>0</v>
      </c>
      <c r="AS5" s="14">
        <v>0</v>
      </c>
      <c r="AT5" s="14">
        <v>0</v>
      </c>
      <c r="AU5" s="14"/>
      <c r="AV5" s="14">
        <v>0</v>
      </c>
      <c r="AW5" s="14">
        <v>0</v>
      </c>
      <c r="AX5" s="14">
        <v>0</v>
      </c>
      <c r="AY5" s="14">
        <v>0</v>
      </c>
      <c r="AZ5" s="14">
        <v>0</v>
      </c>
      <c r="BA5" s="14">
        <v>0</v>
      </c>
      <c r="BB5" s="14">
        <v>0</v>
      </c>
      <c r="BC5" s="14">
        <v>0</v>
      </c>
    </row>
    <row r="6" spans="1:55" ht="15.4" customHeight="1">
      <c r="A6" s="7" t="s">
        <v>90</v>
      </c>
      <c r="B6" s="8" t="s">
        <v>91</v>
      </c>
      <c r="C6" s="8" t="s">
        <v>92</v>
      </c>
      <c r="D6" s="7" t="s">
        <v>93</v>
      </c>
      <c r="E6" s="7" t="s">
        <v>83</v>
      </c>
      <c r="F6" s="7" t="s">
        <v>60</v>
      </c>
      <c r="G6" s="7" t="s">
        <v>61</v>
      </c>
      <c r="H6" s="8" t="s">
        <v>94</v>
      </c>
      <c r="I6" s="7" t="s">
        <v>95</v>
      </c>
      <c r="J6" s="8">
        <v>75</v>
      </c>
      <c r="K6" s="8"/>
      <c r="L6" s="8"/>
      <c r="M6" s="8"/>
      <c r="N6" s="8"/>
      <c r="O6" s="8"/>
      <c r="P6" s="8"/>
      <c r="Q6" s="7" t="s">
        <v>96</v>
      </c>
      <c r="R6" s="7" t="s">
        <v>64</v>
      </c>
      <c r="S6" s="9">
        <v>45498</v>
      </c>
      <c r="T6" s="9" t="s">
        <v>77</v>
      </c>
      <c r="U6" s="7" t="s">
        <v>77</v>
      </c>
      <c r="V6" s="9">
        <v>45546</v>
      </c>
      <c r="W6" s="7" t="s">
        <v>77</v>
      </c>
      <c r="X6" s="7" t="s">
        <v>77</v>
      </c>
      <c r="Y6" s="7" t="s">
        <v>77</v>
      </c>
      <c r="Z6" s="9" t="s">
        <v>77</v>
      </c>
      <c r="AA6" s="9">
        <v>45572</v>
      </c>
      <c r="AB6" s="7">
        <v>75</v>
      </c>
      <c r="AC6" s="7">
        <v>2</v>
      </c>
      <c r="AD6" s="9">
        <v>41933</v>
      </c>
      <c r="AE6" s="9">
        <v>45587</v>
      </c>
      <c r="AF6" s="9">
        <v>45600</v>
      </c>
      <c r="AG6" s="7" t="s">
        <v>78</v>
      </c>
      <c r="AH6" s="23" t="s">
        <v>68</v>
      </c>
      <c r="AI6" s="12"/>
      <c r="AJ6" s="12"/>
      <c r="AK6" s="12"/>
      <c r="AL6" s="12"/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/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</row>
    <row r="7" spans="1:55" ht="15.4" customHeight="1">
      <c r="A7" s="7" t="s">
        <v>97</v>
      </c>
      <c r="B7" s="8" t="s">
        <v>71</v>
      </c>
      <c r="C7" s="7" t="s">
        <v>72</v>
      </c>
      <c r="D7" s="7" t="s">
        <v>98</v>
      </c>
      <c r="E7" s="7" t="s">
        <v>74</v>
      </c>
      <c r="F7" s="7" t="s">
        <v>60</v>
      </c>
      <c r="G7" s="7" t="s">
        <v>61</v>
      </c>
      <c r="H7" s="7" t="s">
        <v>99</v>
      </c>
      <c r="I7" s="7" t="s">
        <v>100</v>
      </c>
      <c r="J7" s="8">
        <v>9</v>
      </c>
      <c r="K7" s="8"/>
      <c r="L7" s="8"/>
      <c r="M7" s="8"/>
      <c r="N7" s="8"/>
      <c r="O7" s="8"/>
      <c r="P7" s="8"/>
      <c r="Q7" s="7">
        <v>1</v>
      </c>
      <c r="R7" s="7" t="s">
        <v>101</v>
      </c>
      <c r="S7" s="9">
        <v>45498</v>
      </c>
      <c r="T7" s="9" t="s">
        <v>77</v>
      </c>
      <c r="U7" s="7" t="s">
        <v>77</v>
      </c>
      <c r="V7" s="9">
        <v>45546</v>
      </c>
      <c r="W7" s="9">
        <v>45559</v>
      </c>
      <c r="X7" s="9">
        <v>45559</v>
      </c>
      <c r="Y7" s="9">
        <v>45567</v>
      </c>
      <c r="Z7" s="9">
        <v>45576</v>
      </c>
      <c r="AA7" s="9">
        <v>45579</v>
      </c>
      <c r="AB7" s="7">
        <v>9</v>
      </c>
      <c r="AC7" s="7">
        <v>1</v>
      </c>
      <c r="AD7" s="9">
        <v>45581</v>
      </c>
      <c r="AE7" s="9">
        <v>45583</v>
      </c>
      <c r="AF7" s="9">
        <v>45583</v>
      </c>
      <c r="AG7" s="7" t="s">
        <v>67</v>
      </c>
      <c r="AH7" s="9">
        <v>45582</v>
      </c>
      <c r="AI7" s="12" t="s">
        <v>102</v>
      </c>
      <c r="AJ7" s="12"/>
      <c r="AK7" s="12"/>
      <c r="AL7" s="12"/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/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3">
        <v>0</v>
      </c>
    </row>
    <row r="8" spans="1:55" ht="15.4" customHeight="1">
      <c r="A8" s="7" t="s">
        <v>97</v>
      </c>
      <c r="B8" s="8" t="s">
        <v>71</v>
      </c>
      <c r="C8" s="7" t="s">
        <v>72</v>
      </c>
      <c r="D8" s="7" t="s">
        <v>98</v>
      </c>
      <c r="E8" s="7" t="s">
        <v>74</v>
      </c>
      <c r="F8" s="7" t="s">
        <v>60</v>
      </c>
      <c r="G8" s="7" t="s">
        <v>61</v>
      </c>
      <c r="H8" s="7" t="s">
        <v>99</v>
      </c>
      <c r="I8" s="7" t="s">
        <v>103</v>
      </c>
      <c r="J8" s="8">
        <v>10</v>
      </c>
      <c r="K8" s="8"/>
      <c r="L8" s="8"/>
      <c r="M8" s="8"/>
      <c r="N8" s="8"/>
      <c r="O8" s="8"/>
      <c r="P8" s="8"/>
      <c r="Q8" s="7">
        <v>1</v>
      </c>
      <c r="R8" s="7" t="s">
        <v>101</v>
      </c>
      <c r="S8" s="9">
        <v>45498</v>
      </c>
      <c r="T8" s="9" t="s">
        <v>104</v>
      </c>
      <c r="U8" s="9">
        <v>45583</v>
      </c>
      <c r="V8" s="9">
        <v>45546</v>
      </c>
      <c r="W8" s="9">
        <v>45559</v>
      </c>
      <c r="X8" s="9">
        <v>45559</v>
      </c>
      <c r="Y8" s="9">
        <v>45567</v>
      </c>
      <c r="Z8" s="9">
        <v>45576</v>
      </c>
      <c r="AA8" s="9">
        <v>45579</v>
      </c>
      <c r="AB8" s="7">
        <v>11</v>
      </c>
      <c r="AC8" s="7">
        <v>1</v>
      </c>
      <c r="AD8" s="9">
        <v>45579</v>
      </c>
      <c r="AE8" s="9">
        <v>45583</v>
      </c>
      <c r="AF8" s="9">
        <v>45583</v>
      </c>
      <c r="AG8" s="7" t="s">
        <v>67</v>
      </c>
      <c r="AH8" s="9">
        <v>45582</v>
      </c>
      <c r="AI8" s="12" t="s">
        <v>102</v>
      </c>
      <c r="AJ8" s="12"/>
      <c r="AK8" s="12"/>
      <c r="AL8" s="12"/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/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3">
        <v>0</v>
      </c>
    </row>
    <row r="9" spans="1:55" ht="15.4" customHeight="1">
      <c r="A9" s="7" t="s">
        <v>97</v>
      </c>
      <c r="B9" s="8" t="s">
        <v>71</v>
      </c>
      <c r="C9" s="7" t="s">
        <v>72</v>
      </c>
      <c r="D9" s="7" t="s">
        <v>98</v>
      </c>
      <c r="E9" s="7" t="s">
        <v>74</v>
      </c>
      <c r="F9" s="7" t="s">
        <v>60</v>
      </c>
      <c r="G9" s="7" t="s">
        <v>61</v>
      </c>
      <c r="H9" s="7" t="s">
        <v>99</v>
      </c>
      <c r="I9" s="7" t="s">
        <v>105</v>
      </c>
      <c r="J9" s="8">
        <v>10</v>
      </c>
      <c r="K9" s="8"/>
      <c r="L9" s="8"/>
      <c r="M9" s="8"/>
      <c r="N9" s="8"/>
      <c r="O9" s="8"/>
      <c r="P9" s="8"/>
      <c r="Q9" s="7">
        <v>1</v>
      </c>
      <c r="R9" s="7" t="s">
        <v>101</v>
      </c>
      <c r="S9" s="9">
        <v>45498</v>
      </c>
      <c r="T9" s="9" t="s">
        <v>104</v>
      </c>
      <c r="U9" s="9">
        <v>45583</v>
      </c>
      <c r="V9" s="9">
        <v>45546</v>
      </c>
      <c r="W9" s="9">
        <v>45559</v>
      </c>
      <c r="X9" s="9">
        <v>45559</v>
      </c>
      <c r="Y9" s="9">
        <v>45567</v>
      </c>
      <c r="Z9" s="9">
        <v>45576</v>
      </c>
      <c r="AA9" s="9">
        <v>45579</v>
      </c>
      <c r="AB9" s="7">
        <v>11</v>
      </c>
      <c r="AC9" s="7">
        <v>1</v>
      </c>
      <c r="AD9" s="9">
        <v>45579</v>
      </c>
      <c r="AE9" s="9">
        <v>45583</v>
      </c>
      <c r="AF9" s="9">
        <v>45583</v>
      </c>
      <c r="AG9" s="7" t="s">
        <v>67</v>
      </c>
      <c r="AH9" s="9">
        <v>45582</v>
      </c>
      <c r="AI9" s="12" t="s">
        <v>102</v>
      </c>
      <c r="AJ9" s="12"/>
      <c r="AK9" s="12"/>
      <c r="AL9" s="12"/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/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</row>
    <row r="10" spans="1:55" ht="15.4" customHeight="1">
      <c r="A10" s="7" t="s">
        <v>97</v>
      </c>
      <c r="B10" s="8" t="s">
        <v>106</v>
      </c>
      <c r="C10" s="8" t="s">
        <v>107</v>
      </c>
      <c r="D10" s="7" t="s">
        <v>108</v>
      </c>
      <c r="E10" s="7" t="s">
        <v>74</v>
      </c>
      <c r="F10" s="7" t="s">
        <v>60</v>
      </c>
      <c r="G10" s="7" t="s">
        <v>61</v>
      </c>
      <c r="H10" s="8" t="s">
        <v>109</v>
      </c>
      <c r="I10" s="8" t="s">
        <v>110</v>
      </c>
      <c r="J10" s="8">
        <v>20</v>
      </c>
      <c r="K10" s="8"/>
      <c r="L10" s="8"/>
      <c r="M10" s="8"/>
      <c r="N10" s="8"/>
      <c r="O10" s="8"/>
      <c r="P10" s="8"/>
      <c r="Q10" s="7" t="s">
        <v>96</v>
      </c>
      <c r="R10" s="7" t="s">
        <v>111</v>
      </c>
      <c r="S10" s="9">
        <v>45498</v>
      </c>
      <c r="T10" s="9" t="s">
        <v>88</v>
      </c>
      <c r="U10" s="7" t="s">
        <v>77</v>
      </c>
      <c r="V10" s="9">
        <v>45546</v>
      </c>
      <c r="W10" s="9">
        <v>45559</v>
      </c>
      <c r="X10" s="9">
        <v>45559</v>
      </c>
      <c r="Y10" s="9">
        <v>45567</v>
      </c>
      <c r="Z10" s="9">
        <v>45586</v>
      </c>
      <c r="AA10" s="9">
        <v>45618</v>
      </c>
      <c r="AB10" s="7">
        <v>21</v>
      </c>
      <c r="AC10" s="7">
        <v>1</v>
      </c>
      <c r="AD10" s="9">
        <v>41965</v>
      </c>
      <c r="AE10" s="9">
        <v>45618</v>
      </c>
      <c r="AF10" s="9">
        <v>45618</v>
      </c>
      <c r="AG10" s="7"/>
      <c r="AH10" s="7"/>
      <c r="AI10" s="12"/>
      <c r="AJ10" s="12" t="s">
        <v>112</v>
      </c>
      <c r="AK10" s="12"/>
      <c r="AL10" s="12" t="s">
        <v>113</v>
      </c>
      <c r="AM10" s="14">
        <v>0</v>
      </c>
      <c r="AN10" s="14">
        <v>0</v>
      </c>
      <c r="AO10" s="14">
        <v>0</v>
      </c>
      <c r="AP10" s="14">
        <v>0</v>
      </c>
      <c r="AQ10" s="14">
        <v>0</v>
      </c>
      <c r="AR10" s="14">
        <v>0</v>
      </c>
      <c r="AS10" s="14">
        <v>0</v>
      </c>
      <c r="AT10" s="14">
        <v>0</v>
      </c>
      <c r="AU10" s="14"/>
      <c r="AV10" s="14">
        <v>0</v>
      </c>
      <c r="AW10" s="14">
        <v>0</v>
      </c>
      <c r="AX10" s="14">
        <v>0</v>
      </c>
      <c r="AY10" s="14">
        <v>0</v>
      </c>
      <c r="AZ10" s="14">
        <v>0</v>
      </c>
      <c r="BA10" s="14">
        <v>0</v>
      </c>
      <c r="BB10" s="14">
        <v>0</v>
      </c>
      <c r="BC10" s="14">
        <v>0</v>
      </c>
    </row>
    <row r="11" spans="1:55" ht="15.4" customHeight="1">
      <c r="A11" s="7" t="s">
        <v>97</v>
      </c>
      <c r="B11" s="8" t="s">
        <v>114</v>
      </c>
      <c r="C11" s="8" t="s">
        <v>115</v>
      </c>
      <c r="D11" s="7" t="s">
        <v>116</v>
      </c>
      <c r="E11" s="7" t="s">
        <v>74</v>
      </c>
      <c r="F11" s="7" t="s">
        <v>60</v>
      </c>
      <c r="G11" s="9" t="s">
        <v>61</v>
      </c>
      <c r="H11" s="8" t="s">
        <v>117</v>
      </c>
      <c r="I11" s="7" t="s">
        <v>118</v>
      </c>
      <c r="J11" s="8">
        <v>16</v>
      </c>
      <c r="K11" s="8"/>
      <c r="L11" s="8"/>
      <c r="M11" s="8"/>
      <c r="N11" s="8"/>
      <c r="O11" s="8"/>
      <c r="P11" s="8"/>
      <c r="Q11" s="7" t="s">
        <v>96</v>
      </c>
      <c r="R11" s="7" t="s">
        <v>64</v>
      </c>
      <c r="S11" s="9">
        <v>45498</v>
      </c>
      <c r="T11" s="9" t="s">
        <v>88</v>
      </c>
      <c r="U11" s="7" t="s">
        <v>77</v>
      </c>
      <c r="V11" s="9">
        <v>45546</v>
      </c>
      <c r="W11" s="9">
        <v>45559</v>
      </c>
      <c r="X11" s="9">
        <v>45559</v>
      </c>
      <c r="Y11" s="9">
        <v>45567</v>
      </c>
      <c r="Z11" s="9">
        <v>45580</v>
      </c>
      <c r="AA11" s="9">
        <v>45583</v>
      </c>
      <c r="AB11" s="7">
        <v>18</v>
      </c>
      <c r="AC11" s="7">
        <v>1</v>
      </c>
      <c r="AD11" s="9">
        <v>41933</v>
      </c>
      <c r="AE11" s="9">
        <v>45587</v>
      </c>
      <c r="AF11" s="9">
        <v>45597</v>
      </c>
      <c r="AG11" s="7" t="s">
        <v>78</v>
      </c>
      <c r="AH11" s="9">
        <v>45594</v>
      </c>
      <c r="AI11" s="12" t="s">
        <v>119</v>
      </c>
      <c r="AJ11" s="12" t="s">
        <v>112</v>
      </c>
      <c r="AK11" s="12"/>
      <c r="AL11" s="12" t="s">
        <v>120</v>
      </c>
      <c r="AM11" s="12">
        <v>0</v>
      </c>
      <c r="AN11" s="12">
        <v>16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/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</row>
    <row r="12" spans="1:55" ht="15.4" customHeight="1">
      <c r="A12" s="7" t="s">
        <v>97</v>
      </c>
      <c r="B12" s="8" t="s">
        <v>121</v>
      </c>
      <c r="C12" s="8" t="s">
        <v>121</v>
      </c>
      <c r="D12" s="7" t="s">
        <v>122</v>
      </c>
      <c r="E12" s="7" t="s">
        <v>123</v>
      </c>
      <c r="F12" s="7" t="s">
        <v>60</v>
      </c>
      <c r="G12" s="7" t="s">
        <v>61</v>
      </c>
      <c r="H12" s="8" t="s">
        <v>124</v>
      </c>
      <c r="I12" s="7" t="s">
        <v>125</v>
      </c>
      <c r="J12" s="8">
        <v>20</v>
      </c>
      <c r="K12" s="8"/>
      <c r="L12" s="8"/>
      <c r="M12" s="8"/>
      <c r="N12" s="8"/>
      <c r="O12" s="8"/>
      <c r="P12" s="8"/>
      <c r="Q12" s="7">
        <v>1</v>
      </c>
      <c r="R12" s="7" t="s">
        <v>64</v>
      </c>
      <c r="S12" s="9">
        <v>45498</v>
      </c>
      <c r="T12" s="9" t="s">
        <v>88</v>
      </c>
      <c r="U12" s="7" t="s">
        <v>77</v>
      </c>
      <c r="V12" s="9">
        <v>45546</v>
      </c>
      <c r="W12" s="9">
        <v>45566</v>
      </c>
      <c r="X12" s="9">
        <v>45566</v>
      </c>
      <c r="Y12" s="9">
        <v>45568</v>
      </c>
      <c r="Z12" s="9">
        <v>45574</v>
      </c>
      <c r="AA12" s="9">
        <v>45575</v>
      </c>
      <c r="AB12" s="7">
        <v>23</v>
      </c>
      <c r="AC12" s="7">
        <v>1</v>
      </c>
      <c r="AD12" s="9">
        <v>41933</v>
      </c>
      <c r="AE12" s="9">
        <v>45587</v>
      </c>
      <c r="AF12" s="9">
        <v>45597</v>
      </c>
      <c r="AG12" s="7" t="s">
        <v>67</v>
      </c>
      <c r="AH12" s="9">
        <v>45589</v>
      </c>
      <c r="AI12" s="15"/>
      <c r="AJ12" s="12"/>
      <c r="AK12" s="12"/>
      <c r="AL12" s="12"/>
      <c r="AM12" s="14">
        <v>0</v>
      </c>
      <c r="AN12" s="14">
        <v>20</v>
      </c>
      <c r="AO12" s="12">
        <v>0</v>
      </c>
      <c r="AP12" s="14">
        <v>0</v>
      </c>
      <c r="AQ12" s="14">
        <v>0</v>
      </c>
      <c r="AR12" s="14">
        <v>0</v>
      </c>
      <c r="AS12" s="14">
        <v>0</v>
      </c>
      <c r="AT12" s="14">
        <v>0</v>
      </c>
      <c r="AU12" s="14"/>
      <c r="AV12" s="14">
        <v>0</v>
      </c>
      <c r="AW12" s="14">
        <v>0</v>
      </c>
      <c r="AX12" s="14">
        <v>0</v>
      </c>
      <c r="AY12" s="14">
        <v>0</v>
      </c>
      <c r="AZ12" s="14">
        <v>0</v>
      </c>
      <c r="BA12" s="14">
        <v>0</v>
      </c>
      <c r="BB12" s="14">
        <v>0</v>
      </c>
      <c r="BC12" s="13">
        <v>0</v>
      </c>
    </row>
    <row r="13" spans="1:55" ht="15.4" customHeight="1">
      <c r="A13" s="7" t="s">
        <v>97</v>
      </c>
      <c r="B13" s="8" t="s">
        <v>121</v>
      </c>
      <c r="C13" s="8" t="s">
        <v>121</v>
      </c>
      <c r="D13" s="7" t="s">
        <v>122</v>
      </c>
      <c r="E13" s="7" t="s">
        <v>123</v>
      </c>
      <c r="F13" s="7" t="s">
        <v>60</v>
      </c>
      <c r="G13" s="7" t="s">
        <v>61</v>
      </c>
      <c r="H13" s="8" t="s">
        <v>124</v>
      </c>
      <c r="I13" s="7" t="s">
        <v>126</v>
      </c>
      <c r="J13" s="8">
        <v>24</v>
      </c>
      <c r="K13" s="8"/>
      <c r="L13" s="8"/>
      <c r="M13" s="8"/>
      <c r="N13" s="8"/>
      <c r="O13" s="8"/>
      <c r="P13" s="8"/>
      <c r="Q13" s="7">
        <v>1</v>
      </c>
      <c r="R13" s="7" t="s">
        <v>64</v>
      </c>
      <c r="S13" s="9">
        <v>45498</v>
      </c>
      <c r="T13" s="9" t="s">
        <v>88</v>
      </c>
      <c r="U13" s="7" t="s">
        <v>77</v>
      </c>
      <c r="V13" s="9">
        <v>45546</v>
      </c>
      <c r="W13" s="9">
        <v>45566</v>
      </c>
      <c r="X13" s="9">
        <v>45566</v>
      </c>
      <c r="Y13" s="9">
        <v>45568</v>
      </c>
      <c r="Z13" s="9">
        <v>45574</v>
      </c>
      <c r="AA13" s="9">
        <v>45575</v>
      </c>
      <c r="AB13" s="7">
        <v>25</v>
      </c>
      <c r="AC13" s="7">
        <v>1</v>
      </c>
      <c r="AD13" s="9">
        <v>41933</v>
      </c>
      <c r="AE13" s="9">
        <v>45587</v>
      </c>
      <c r="AF13" s="9">
        <v>45597</v>
      </c>
      <c r="AG13" s="7" t="s">
        <v>67</v>
      </c>
      <c r="AH13" s="9">
        <v>45589</v>
      </c>
      <c r="AI13" s="15"/>
      <c r="AJ13" s="12"/>
      <c r="AK13" s="12"/>
      <c r="AL13" s="12"/>
      <c r="AM13" s="14">
        <v>0</v>
      </c>
      <c r="AN13" s="14">
        <v>24</v>
      </c>
      <c r="AO13" s="12">
        <v>0</v>
      </c>
      <c r="AP13" s="14">
        <v>0</v>
      </c>
      <c r="AQ13" s="14">
        <v>0</v>
      </c>
      <c r="AR13" s="14">
        <v>0</v>
      </c>
      <c r="AS13" s="14">
        <v>0</v>
      </c>
      <c r="AT13" s="14">
        <v>0</v>
      </c>
      <c r="AU13" s="14"/>
      <c r="AV13" s="14">
        <v>0</v>
      </c>
      <c r="AW13" s="14">
        <v>0</v>
      </c>
      <c r="AX13" s="14">
        <v>0</v>
      </c>
      <c r="AY13" s="14">
        <v>0</v>
      </c>
      <c r="AZ13" s="14">
        <v>0</v>
      </c>
      <c r="BA13" s="14">
        <v>0</v>
      </c>
      <c r="BB13" s="14">
        <v>0</v>
      </c>
      <c r="BC13" s="13">
        <v>0</v>
      </c>
    </row>
    <row r="14" spans="1:55" ht="15.4" customHeight="1">
      <c r="A14" s="7" t="s">
        <v>70</v>
      </c>
      <c r="B14" s="8" t="s">
        <v>71</v>
      </c>
      <c r="C14" s="8" t="s">
        <v>127</v>
      </c>
      <c r="D14" s="7" t="s">
        <v>128</v>
      </c>
      <c r="E14" s="7" t="s">
        <v>74</v>
      </c>
      <c r="F14" s="7" t="s">
        <v>60</v>
      </c>
      <c r="G14" s="7" t="s">
        <v>61</v>
      </c>
      <c r="H14" s="7" t="s">
        <v>129</v>
      </c>
      <c r="I14" s="7" t="s">
        <v>130</v>
      </c>
      <c r="J14" s="8">
        <v>30</v>
      </c>
      <c r="K14" s="8"/>
      <c r="L14" s="8"/>
      <c r="M14" s="8"/>
      <c r="N14" s="8"/>
      <c r="O14" s="8"/>
      <c r="P14" s="8"/>
      <c r="Q14" s="7">
        <v>1</v>
      </c>
      <c r="R14" s="7" t="s">
        <v>64</v>
      </c>
      <c r="S14" s="9">
        <v>45498</v>
      </c>
      <c r="T14" s="9" t="s">
        <v>77</v>
      </c>
      <c r="U14" s="7" t="s">
        <v>77</v>
      </c>
      <c r="V14" s="9">
        <v>45546</v>
      </c>
      <c r="W14" s="9">
        <v>45559</v>
      </c>
      <c r="X14" s="9">
        <v>45559</v>
      </c>
      <c r="Y14" s="9">
        <v>45567</v>
      </c>
      <c r="Z14" s="9">
        <v>45581</v>
      </c>
      <c r="AA14" s="9">
        <v>45583</v>
      </c>
      <c r="AB14" s="7">
        <v>30</v>
      </c>
      <c r="AC14" s="7">
        <v>1</v>
      </c>
      <c r="AD14" s="9">
        <v>41933</v>
      </c>
      <c r="AE14" s="9">
        <v>45587</v>
      </c>
      <c r="AF14" s="9">
        <v>45597</v>
      </c>
      <c r="AG14" s="7" t="s">
        <v>78</v>
      </c>
      <c r="AH14" s="9">
        <v>45593</v>
      </c>
      <c r="AI14" s="12" t="s">
        <v>102</v>
      </c>
      <c r="AJ14" s="12"/>
      <c r="AK14" s="12"/>
      <c r="AL14" s="12"/>
      <c r="AM14" s="12">
        <v>0</v>
      </c>
      <c r="AN14" s="12">
        <v>2</v>
      </c>
      <c r="AO14" s="12">
        <v>0</v>
      </c>
      <c r="AP14" s="12">
        <v>1</v>
      </c>
      <c r="AQ14" s="12">
        <v>1</v>
      </c>
      <c r="AR14" s="12">
        <v>0</v>
      </c>
      <c r="AS14" s="12">
        <v>0</v>
      </c>
      <c r="AT14" s="12">
        <v>0</v>
      </c>
      <c r="AU14" s="12"/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</row>
    <row r="15" spans="1:55" s="2" customFormat="1" ht="15.4" customHeight="1">
      <c r="A15" s="7" t="s">
        <v>131</v>
      </c>
      <c r="B15" s="8" t="s">
        <v>132</v>
      </c>
      <c r="C15" s="8" t="s">
        <v>133</v>
      </c>
      <c r="D15" s="7" t="s">
        <v>134</v>
      </c>
      <c r="E15" s="7" t="s">
        <v>83</v>
      </c>
      <c r="F15" s="7" t="s">
        <v>60</v>
      </c>
      <c r="G15" s="7" t="s">
        <v>61</v>
      </c>
      <c r="H15" s="7" t="s">
        <v>135</v>
      </c>
      <c r="I15" s="7" t="s">
        <v>136</v>
      </c>
      <c r="J15" s="8">
        <v>9</v>
      </c>
      <c r="K15" s="8"/>
      <c r="L15" s="8"/>
      <c r="M15" s="8"/>
      <c r="N15" s="8"/>
      <c r="O15" s="8"/>
      <c r="P15" s="8"/>
      <c r="Q15" s="7" t="s">
        <v>96</v>
      </c>
      <c r="R15" s="7" t="s">
        <v>137</v>
      </c>
      <c r="S15" s="7" t="s">
        <v>77</v>
      </c>
      <c r="T15" s="7" t="s">
        <v>77</v>
      </c>
      <c r="U15" s="7" t="s">
        <v>77</v>
      </c>
      <c r="V15" s="7" t="s">
        <v>77</v>
      </c>
      <c r="W15" s="7" t="s">
        <v>77</v>
      </c>
      <c r="X15" s="7" t="s">
        <v>77</v>
      </c>
      <c r="Y15" s="7" t="s">
        <v>77</v>
      </c>
      <c r="Z15" s="9" t="s">
        <v>77</v>
      </c>
      <c r="AA15" s="9" t="s">
        <v>77</v>
      </c>
      <c r="AB15" s="7" t="s">
        <v>77</v>
      </c>
      <c r="AC15" s="7" t="s">
        <v>77</v>
      </c>
      <c r="AD15" s="9" t="s">
        <v>77</v>
      </c>
      <c r="AE15" s="9" t="s">
        <v>77</v>
      </c>
      <c r="AF15" s="9" t="s">
        <v>77</v>
      </c>
      <c r="AG15" s="7" t="s">
        <v>77</v>
      </c>
      <c r="AH15" s="7" t="s">
        <v>77</v>
      </c>
      <c r="AI15" s="24"/>
      <c r="AJ15" s="12"/>
      <c r="AK15" s="12"/>
      <c r="AL15" s="12"/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/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</row>
    <row r="16" spans="1:55" s="2" customFormat="1" ht="15.4" customHeight="1">
      <c r="A16" s="7" t="s">
        <v>131</v>
      </c>
      <c r="B16" s="8" t="s">
        <v>132</v>
      </c>
      <c r="C16" s="8" t="s">
        <v>133</v>
      </c>
      <c r="D16" s="7" t="s">
        <v>134</v>
      </c>
      <c r="E16" s="7" t="s">
        <v>83</v>
      </c>
      <c r="F16" s="7" t="s">
        <v>60</v>
      </c>
      <c r="G16" s="7" t="s">
        <v>61</v>
      </c>
      <c r="H16" s="7" t="s">
        <v>135</v>
      </c>
      <c r="I16" s="7" t="s">
        <v>138</v>
      </c>
      <c r="J16" s="8">
        <v>13</v>
      </c>
      <c r="K16" s="8"/>
      <c r="L16" s="8"/>
      <c r="M16" s="8"/>
      <c r="N16" s="8"/>
      <c r="O16" s="8"/>
      <c r="P16" s="8"/>
      <c r="Q16" s="7" t="s">
        <v>96</v>
      </c>
      <c r="R16" s="7" t="s">
        <v>139</v>
      </c>
      <c r="S16" s="7" t="s">
        <v>77</v>
      </c>
      <c r="T16" s="7" t="s">
        <v>77</v>
      </c>
      <c r="U16" s="7" t="s">
        <v>77</v>
      </c>
      <c r="V16" s="7" t="s">
        <v>77</v>
      </c>
      <c r="W16" s="7" t="s">
        <v>77</v>
      </c>
      <c r="X16" s="7" t="s">
        <v>77</v>
      </c>
      <c r="Y16" s="7" t="s">
        <v>77</v>
      </c>
      <c r="Z16" s="9" t="s">
        <v>77</v>
      </c>
      <c r="AA16" s="9" t="s">
        <v>77</v>
      </c>
      <c r="AB16" s="7" t="s">
        <v>77</v>
      </c>
      <c r="AC16" s="7" t="s">
        <v>77</v>
      </c>
      <c r="AD16" s="9" t="s">
        <v>77</v>
      </c>
      <c r="AE16" s="9" t="s">
        <v>77</v>
      </c>
      <c r="AF16" s="9" t="s">
        <v>77</v>
      </c>
      <c r="AG16" s="7" t="s">
        <v>77</v>
      </c>
      <c r="AH16" s="7" t="s">
        <v>77</v>
      </c>
      <c r="AI16" s="24"/>
      <c r="AJ16" s="12"/>
      <c r="AK16" s="12"/>
      <c r="AL16" s="12"/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/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</row>
    <row r="17" spans="1:55" ht="15.4" customHeight="1">
      <c r="A17" s="7" t="s">
        <v>131</v>
      </c>
      <c r="B17" s="8" t="s">
        <v>132</v>
      </c>
      <c r="C17" s="8" t="s">
        <v>133</v>
      </c>
      <c r="D17" s="7" t="s">
        <v>134</v>
      </c>
      <c r="E17" s="7" t="s">
        <v>83</v>
      </c>
      <c r="F17" s="7" t="s">
        <v>60</v>
      </c>
      <c r="G17" s="7" t="s">
        <v>61</v>
      </c>
      <c r="H17" s="7" t="s">
        <v>135</v>
      </c>
      <c r="I17" s="7" t="s">
        <v>140</v>
      </c>
      <c r="J17" s="8">
        <v>36</v>
      </c>
      <c r="K17" s="8"/>
      <c r="L17" s="8"/>
      <c r="M17" s="8"/>
      <c r="N17" s="8"/>
      <c r="O17" s="8"/>
      <c r="P17" s="8"/>
      <c r="Q17" s="7" t="s">
        <v>96</v>
      </c>
      <c r="R17" s="7" t="s">
        <v>141</v>
      </c>
      <c r="S17" s="7" t="s">
        <v>77</v>
      </c>
      <c r="T17" s="9" t="s">
        <v>77</v>
      </c>
      <c r="U17" s="7" t="s">
        <v>77</v>
      </c>
      <c r="V17" s="7" t="s">
        <v>77</v>
      </c>
      <c r="W17" s="7" t="s">
        <v>77</v>
      </c>
      <c r="X17" s="7" t="s">
        <v>77</v>
      </c>
      <c r="Y17" s="7" t="s">
        <v>77</v>
      </c>
      <c r="Z17" s="7" t="s">
        <v>77</v>
      </c>
      <c r="AA17" s="7" t="s">
        <v>77</v>
      </c>
      <c r="AB17" s="7">
        <v>40</v>
      </c>
      <c r="AC17" s="7" t="s">
        <v>77</v>
      </c>
      <c r="AD17" s="9" t="s">
        <v>77</v>
      </c>
      <c r="AE17" s="9" t="s">
        <v>77</v>
      </c>
      <c r="AF17" s="9" t="s">
        <v>77</v>
      </c>
      <c r="AG17" s="7" t="s">
        <v>77</v>
      </c>
      <c r="AH17" s="7" t="s">
        <v>77</v>
      </c>
      <c r="AI17" s="12"/>
      <c r="AJ17" s="12"/>
      <c r="AK17" s="12"/>
      <c r="AL17" s="12"/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/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</row>
    <row r="18" spans="1:55" ht="15.4" customHeight="1">
      <c r="A18" s="7" t="s">
        <v>70</v>
      </c>
      <c r="B18" s="8" t="s">
        <v>71</v>
      </c>
      <c r="C18" s="8" t="s">
        <v>142</v>
      </c>
      <c r="D18" s="7" t="s">
        <v>143</v>
      </c>
      <c r="E18" s="7" t="s">
        <v>74</v>
      </c>
      <c r="F18" s="7" t="s">
        <v>60</v>
      </c>
      <c r="G18" s="9" t="s">
        <v>61</v>
      </c>
      <c r="H18" s="8" t="s">
        <v>144</v>
      </c>
      <c r="I18" s="7" t="s">
        <v>145</v>
      </c>
      <c r="J18" s="8">
        <v>23</v>
      </c>
      <c r="K18" s="10"/>
      <c r="L18" s="10"/>
      <c r="M18" s="10"/>
      <c r="N18" s="10"/>
      <c r="O18" s="10"/>
      <c r="P18" s="10"/>
      <c r="Q18" s="7">
        <v>1</v>
      </c>
      <c r="R18" s="7" t="s">
        <v>64</v>
      </c>
      <c r="S18" s="9">
        <v>45498</v>
      </c>
      <c r="T18" s="9" t="s">
        <v>88</v>
      </c>
      <c r="U18" s="7" t="s">
        <v>77</v>
      </c>
      <c r="V18" s="9">
        <v>45546</v>
      </c>
      <c r="W18" s="9">
        <v>45559</v>
      </c>
      <c r="X18" s="9">
        <v>45559</v>
      </c>
      <c r="Y18" s="9">
        <v>45567</v>
      </c>
      <c r="Z18" s="9">
        <v>45582</v>
      </c>
      <c r="AA18" s="9">
        <v>45583</v>
      </c>
      <c r="AB18" s="7">
        <v>23</v>
      </c>
      <c r="AC18" s="7">
        <v>1</v>
      </c>
      <c r="AD18" s="9">
        <v>41933</v>
      </c>
      <c r="AE18" s="9">
        <v>45587</v>
      </c>
      <c r="AF18" s="9">
        <v>45597</v>
      </c>
      <c r="AG18" s="7" t="s">
        <v>78</v>
      </c>
      <c r="AH18" s="9">
        <v>45595</v>
      </c>
      <c r="AI18" s="12" t="s">
        <v>146</v>
      </c>
      <c r="AJ18" s="12"/>
      <c r="AK18" s="12"/>
      <c r="AL18" s="12" t="s">
        <v>120</v>
      </c>
      <c r="AM18" s="12">
        <v>0</v>
      </c>
      <c r="AN18" s="12">
        <v>2</v>
      </c>
      <c r="AO18" s="12">
        <v>0</v>
      </c>
      <c r="AP18" s="12">
        <v>1</v>
      </c>
      <c r="AQ18" s="12">
        <v>1</v>
      </c>
      <c r="AR18" s="12">
        <v>0</v>
      </c>
      <c r="AS18" s="12">
        <v>0</v>
      </c>
      <c r="AT18" s="12">
        <v>0</v>
      </c>
      <c r="AU18" s="12"/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</row>
    <row r="19" spans="1:55" ht="15.4" customHeight="1">
      <c r="A19" s="7" t="s">
        <v>131</v>
      </c>
      <c r="B19" s="8"/>
      <c r="C19" s="8"/>
      <c r="D19" s="7"/>
      <c r="E19" s="7" t="s">
        <v>83</v>
      </c>
      <c r="F19" s="7" t="s">
        <v>60</v>
      </c>
      <c r="G19" s="9" t="s">
        <v>61</v>
      </c>
      <c r="H19" s="8" t="s">
        <v>147</v>
      </c>
      <c r="I19" s="7" t="s">
        <v>148</v>
      </c>
      <c r="J19" s="8"/>
      <c r="K19" s="10"/>
      <c r="L19" s="10"/>
      <c r="M19" s="10"/>
      <c r="N19" s="10"/>
      <c r="O19" s="10"/>
      <c r="P19" s="10"/>
      <c r="Q19" s="7" t="s">
        <v>96</v>
      </c>
      <c r="R19" s="7"/>
      <c r="S19" s="9"/>
      <c r="T19" s="9"/>
      <c r="U19" s="7" t="s">
        <v>77</v>
      </c>
      <c r="V19" s="9"/>
      <c r="W19" s="9"/>
      <c r="X19" s="9"/>
      <c r="Y19" s="9"/>
      <c r="Z19" s="9"/>
      <c r="AA19" s="9"/>
      <c r="AB19" s="7"/>
      <c r="AC19" s="7">
        <v>1</v>
      </c>
      <c r="AD19" s="9"/>
      <c r="AE19" s="9"/>
      <c r="AF19" s="9"/>
      <c r="AG19" s="7"/>
      <c r="AH19" s="9"/>
      <c r="AI19" s="12"/>
      <c r="AJ19" s="12"/>
      <c r="AK19" s="12"/>
      <c r="AL19" s="12"/>
      <c r="AM19" s="12">
        <v>0</v>
      </c>
      <c r="AN19" s="12">
        <v>24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/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</row>
    <row r="20" spans="1:55" ht="15.4" customHeight="1">
      <c r="A20" s="7" t="s">
        <v>70</v>
      </c>
      <c r="B20" s="8" t="s">
        <v>149</v>
      </c>
      <c r="C20" s="7" t="s">
        <v>150</v>
      </c>
      <c r="D20" s="7" t="s">
        <v>151</v>
      </c>
      <c r="E20" s="7" t="s">
        <v>123</v>
      </c>
      <c r="F20" s="7" t="s">
        <v>60</v>
      </c>
      <c r="G20" s="9" t="s">
        <v>61</v>
      </c>
      <c r="H20" s="7" t="s">
        <v>152</v>
      </c>
      <c r="I20" s="7" t="s">
        <v>153</v>
      </c>
      <c r="J20" s="8">
        <v>5</v>
      </c>
      <c r="K20" s="8"/>
      <c r="L20" s="8"/>
      <c r="M20" s="8"/>
      <c r="N20" s="8"/>
      <c r="O20" s="8"/>
      <c r="P20" s="8"/>
      <c r="Q20" s="7">
        <v>1</v>
      </c>
      <c r="R20" s="7" t="s">
        <v>64</v>
      </c>
      <c r="S20" s="9">
        <v>45498</v>
      </c>
      <c r="T20" s="9" t="s">
        <v>77</v>
      </c>
      <c r="U20" s="7" t="s">
        <v>77</v>
      </c>
      <c r="V20" s="9">
        <v>45546</v>
      </c>
      <c r="W20" s="9">
        <v>45566</v>
      </c>
      <c r="X20" s="9">
        <v>45566</v>
      </c>
      <c r="Y20" s="9">
        <v>45568</v>
      </c>
      <c r="Z20" s="9">
        <v>45572</v>
      </c>
      <c r="AA20" s="9">
        <v>45575</v>
      </c>
      <c r="AB20" s="7">
        <v>6</v>
      </c>
      <c r="AC20" s="7">
        <v>1</v>
      </c>
      <c r="AD20" s="9">
        <v>41929</v>
      </c>
      <c r="AE20" s="9">
        <v>45587</v>
      </c>
      <c r="AF20" s="9">
        <v>45597</v>
      </c>
      <c r="AG20" s="7" t="s">
        <v>67</v>
      </c>
      <c r="AH20" s="7" t="s">
        <v>68</v>
      </c>
      <c r="AI20" s="12" t="s">
        <v>154</v>
      </c>
      <c r="AJ20" s="12"/>
      <c r="AK20" s="12"/>
      <c r="AL20" s="12"/>
      <c r="AM20" s="14">
        <v>0</v>
      </c>
      <c r="AN20" s="14">
        <v>2</v>
      </c>
      <c r="AO20" s="12">
        <v>0</v>
      </c>
      <c r="AP20" s="14">
        <v>1</v>
      </c>
      <c r="AQ20" s="14">
        <v>1</v>
      </c>
      <c r="AR20" s="14">
        <v>0</v>
      </c>
      <c r="AS20" s="14">
        <v>0</v>
      </c>
      <c r="AT20" s="14">
        <v>0</v>
      </c>
      <c r="AU20" s="14"/>
      <c r="AV20" s="14">
        <v>0</v>
      </c>
      <c r="AW20" s="14">
        <v>0</v>
      </c>
      <c r="AX20" s="14">
        <v>0</v>
      </c>
      <c r="AY20" s="14">
        <v>0</v>
      </c>
      <c r="AZ20" s="12">
        <v>0</v>
      </c>
      <c r="BA20" s="12">
        <v>0</v>
      </c>
      <c r="BB20" s="12">
        <v>0</v>
      </c>
      <c r="BC20" s="13">
        <v>0</v>
      </c>
    </row>
    <row r="21" spans="1:55" ht="15.4" customHeight="1">
      <c r="A21" s="7" t="s">
        <v>155</v>
      </c>
      <c r="B21" s="8" t="s">
        <v>156</v>
      </c>
      <c r="C21" s="7" t="s">
        <v>157</v>
      </c>
      <c r="D21" s="7" t="s">
        <v>158</v>
      </c>
      <c r="E21" s="7" t="s">
        <v>159</v>
      </c>
      <c r="F21" s="7" t="s">
        <v>60</v>
      </c>
      <c r="G21" s="7" t="s">
        <v>61</v>
      </c>
      <c r="H21" s="7" t="s">
        <v>160</v>
      </c>
      <c r="I21" s="7" t="s">
        <v>161</v>
      </c>
      <c r="J21" s="8">
        <v>15</v>
      </c>
      <c r="K21" s="10"/>
      <c r="L21" s="8"/>
      <c r="M21" s="8"/>
      <c r="N21" s="8"/>
      <c r="O21" s="8"/>
      <c r="P21" s="8"/>
      <c r="Q21" s="7">
        <v>1</v>
      </c>
      <c r="R21" s="7" t="s">
        <v>64</v>
      </c>
      <c r="S21" s="9">
        <v>45498</v>
      </c>
      <c r="T21" s="9" t="s">
        <v>88</v>
      </c>
      <c r="U21" s="7" t="s">
        <v>77</v>
      </c>
      <c r="V21" s="9">
        <v>45545</v>
      </c>
      <c r="W21" s="7" t="s">
        <v>162</v>
      </c>
      <c r="X21" s="7" t="s">
        <v>162</v>
      </c>
      <c r="Y21" s="7" t="s">
        <v>162</v>
      </c>
      <c r="Z21" s="7" t="s">
        <v>162</v>
      </c>
      <c r="AA21" s="9" t="s">
        <v>162</v>
      </c>
      <c r="AB21" s="7">
        <v>21</v>
      </c>
      <c r="AC21" s="7">
        <v>1</v>
      </c>
      <c r="AD21" s="9">
        <v>41933</v>
      </c>
      <c r="AE21" s="9">
        <v>45587</v>
      </c>
      <c r="AF21" s="9">
        <v>45597</v>
      </c>
      <c r="AG21" s="7" t="s">
        <v>78</v>
      </c>
      <c r="AH21" s="9">
        <v>45596</v>
      </c>
      <c r="AI21" s="12"/>
      <c r="AJ21" s="12"/>
      <c r="AK21" s="12"/>
      <c r="AL21" s="12" t="s">
        <v>120</v>
      </c>
      <c r="AM21" s="12">
        <v>0</v>
      </c>
      <c r="AN21" s="12">
        <v>2</v>
      </c>
      <c r="AO21" s="12">
        <v>0</v>
      </c>
      <c r="AP21" s="12">
        <v>1</v>
      </c>
      <c r="AQ21" s="12">
        <v>1</v>
      </c>
      <c r="AR21" s="12">
        <v>0</v>
      </c>
      <c r="AS21" s="12">
        <v>0</v>
      </c>
      <c r="AT21" s="12">
        <v>0</v>
      </c>
      <c r="AU21" s="12"/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</row>
    <row r="22" spans="1:55" ht="15.4" customHeight="1">
      <c r="A22" s="7" t="s">
        <v>90</v>
      </c>
      <c r="B22" s="8" t="s">
        <v>163</v>
      </c>
      <c r="C22" s="8" t="s">
        <v>164</v>
      </c>
      <c r="D22" s="7" t="s">
        <v>165</v>
      </c>
      <c r="E22" s="7" t="s">
        <v>83</v>
      </c>
      <c r="F22" s="7" t="s">
        <v>60</v>
      </c>
      <c r="G22" s="7" t="s">
        <v>61</v>
      </c>
      <c r="H22" s="7" t="s">
        <v>166</v>
      </c>
      <c r="I22" s="7" t="s">
        <v>167</v>
      </c>
      <c r="J22" s="8">
        <v>12</v>
      </c>
      <c r="K22" s="8"/>
      <c r="L22" s="8"/>
      <c r="M22" s="8"/>
      <c r="N22" s="8"/>
      <c r="O22" s="8"/>
      <c r="P22" s="8"/>
      <c r="Q22" s="7" t="s">
        <v>96</v>
      </c>
      <c r="R22" s="7" t="s">
        <v>64</v>
      </c>
      <c r="S22" s="9">
        <v>45498</v>
      </c>
      <c r="T22" s="9" t="s">
        <v>168</v>
      </c>
      <c r="U22" s="9" t="s">
        <v>169</v>
      </c>
      <c r="V22" s="9">
        <v>45546</v>
      </c>
      <c r="W22" s="9">
        <v>45560</v>
      </c>
      <c r="X22" s="9">
        <v>45561</v>
      </c>
      <c r="Y22" s="9">
        <v>45568</v>
      </c>
      <c r="Z22" s="9">
        <v>45579</v>
      </c>
      <c r="AA22" s="9">
        <v>45583</v>
      </c>
      <c r="AB22" s="7">
        <v>13</v>
      </c>
      <c r="AC22" s="7">
        <v>1</v>
      </c>
      <c r="AD22" s="9">
        <v>45583</v>
      </c>
      <c r="AE22" s="9">
        <v>45587</v>
      </c>
      <c r="AF22" s="9">
        <v>45597</v>
      </c>
      <c r="AG22" s="7" t="s">
        <v>78</v>
      </c>
      <c r="AH22" s="9">
        <v>45586</v>
      </c>
      <c r="AI22" s="12" t="s">
        <v>69</v>
      </c>
      <c r="AJ22" s="9"/>
      <c r="AK22" s="9"/>
      <c r="AL22" s="9"/>
      <c r="AM22" s="12">
        <v>0</v>
      </c>
      <c r="AN22" s="12">
        <v>12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/>
      <c r="AV22" s="12">
        <v>0</v>
      </c>
      <c r="AW22" s="12">
        <v>0</v>
      </c>
      <c r="AX22" s="12">
        <v>0</v>
      </c>
      <c r="AY22" s="12">
        <v>0</v>
      </c>
      <c r="AZ22" s="14">
        <v>0</v>
      </c>
      <c r="BA22" s="14">
        <v>1</v>
      </c>
      <c r="BB22" s="14">
        <v>0</v>
      </c>
      <c r="BC22" s="12">
        <v>0</v>
      </c>
    </row>
    <row r="23" spans="1:55" ht="15.4" customHeight="1">
      <c r="A23" s="7" t="s">
        <v>90</v>
      </c>
      <c r="B23" s="8" t="s">
        <v>163</v>
      </c>
      <c r="C23" s="8" t="s">
        <v>164</v>
      </c>
      <c r="D23" s="7" t="s">
        <v>165</v>
      </c>
      <c r="E23" s="7" t="s">
        <v>83</v>
      </c>
      <c r="F23" s="7" t="s">
        <v>60</v>
      </c>
      <c r="G23" s="7" t="s">
        <v>61</v>
      </c>
      <c r="H23" s="7" t="s">
        <v>166</v>
      </c>
      <c r="I23" s="7" t="s">
        <v>170</v>
      </c>
      <c r="J23" s="8">
        <v>14</v>
      </c>
      <c r="K23" s="8"/>
      <c r="L23" s="8"/>
      <c r="M23" s="8"/>
      <c r="N23" s="8"/>
      <c r="O23" s="8"/>
      <c r="P23" s="8"/>
      <c r="Q23" s="7" t="s">
        <v>96</v>
      </c>
      <c r="R23" s="7" t="s">
        <v>64</v>
      </c>
      <c r="S23" s="9">
        <v>45498</v>
      </c>
      <c r="T23" s="9" t="s">
        <v>168</v>
      </c>
      <c r="U23" s="9" t="s">
        <v>169</v>
      </c>
      <c r="V23" s="9">
        <v>45546</v>
      </c>
      <c r="W23" s="9">
        <v>45560</v>
      </c>
      <c r="X23" s="9">
        <v>45561</v>
      </c>
      <c r="Y23" s="9">
        <v>45568</v>
      </c>
      <c r="Z23" s="9">
        <v>45579</v>
      </c>
      <c r="AA23" s="9">
        <v>45583</v>
      </c>
      <c r="AB23" s="7">
        <v>15</v>
      </c>
      <c r="AC23" s="7">
        <v>1</v>
      </c>
      <c r="AD23" s="9">
        <v>45583</v>
      </c>
      <c r="AE23" s="9">
        <v>45587</v>
      </c>
      <c r="AF23" s="9">
        <v>45597</v>
      </c>
      <c r="AG23" s="7" t="s">
        <v>78</v>
      </c>
      <c r="AH23" s="9">
        <v>45586</v>
      </c>
      <c r="AI23" s="12" t="s">
        <v>69</v>
      </c>
      <c r="AJ23" s="9"/>
      <c r="AK23" s="9"/>
      <c r="AL23" s="9"/>
      <c r="AM23" s="12">
        <v>0</v>
      </c>
      <c r="AN23" s="12">
        <v>14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/>
      <c r="AV23" s="12">
        <v>0</v>
      </c>
      <c r="AW23" s="12">
        <v>0</v>
      </c>
      <c r="AX23" s="12">
        <v>0</v>
      </c>
      <c r="AY23" s="12">
        <v>0</v>
      </c>
      <c r="AZ23" s="14">
        <v>0</v>
      </c>
      <c r="BA23" s="14">
        <v>1</v>
      </c>
      <c r="BB23" s="14">
        <v>0</v>
      </c>
      <c r="BC23" s="12">
        <v>0</v>
      </c>
    </row>
    <row r="24" spans="1:55" ht="15.4" customHeight="1">
      <c r="A24" s="7" t="s">
        <v>90</v>
      </c>
      <c r="B24" s="8" t="s">
        <v>163</v>
      </c>
      <c r="C24" s="8" t="s">
        <v>164</v>
      </c>
      <c r="D24" s="7" t="s">
        <v>165</v>
      </c>
      <c r="E24" s="7" t="s">
        <v>83</v>
      </c>
      <c r="F24" s="7" t="s">
        <v>60</v>
      </c>
      <c r="G24" s="7" t="s">
        <v>61</v>
      </c>
      <c r="H24" s="7" t="s">
        <v>166</v>
      </c>
      <c r="I24" s="7" t="s">
        <v>171</v>
      </c>
      <c r="J24" s="8">
        <v>15</v>
      </c>
      <c r="K24" s="8"/>
      <c r="L24" s="8"/>
      <c r="M24" s="8"/>
      <c r="N24" s="8"/>
      <c r="O24" s="8"/>
      <c r="P24" s="8"/>
      <c r="Q24" s="7" t="s">
        <v>96</v>
      </c>
      <c r="R24" s="7" t="s">
        <v>64</v>
      </c>
      <c r="S24" s="9">
        <v>45498</v>
      </c>
      <c r="T24" s="9" t="s">
        <v>66</v>
      </c>
      <c r="U24" s="9" t="s">
        <v>169</v>
      </c>
      <c r="V24" s="9">
        <v>45546</v>
      </c>
      <c r="W24" s="9">
        <v>45560</v>
      </c>
      <c r="X24" s="9">
        <v>45561</v>
      </c>
      <c r="Y24" s="9">
        <v>45568</v>
      </c>
      <c r="Z24" s="9">
        <v>45579</v>
      </c>
      <c r="AA24" s="9">
        <v>45583</v>
      </c>
      <c r="AB24" s="7">
        <v>16</v>
      </c>
      <c r="AC24" s="7">
        <v>1</v>
      </c>
      <c r="AD24" s="9">
        <v>45583</v>
      </c>
      <c r="AE24" s="9">
        <v>45587</v>
      </c>
      <c r="AF24" s="9">
        <v>45597</v>
      </c>
      <c r="AG24" s="7" t="s">
        <v>78</v>
      </c>
      <c r="AH24" s="9">
        <v>45586</v>
      </c>
      <c r="AI24" s="12" t="s">
        <v>69</v>
      </c>
      <c r="AJ24" s="9"/>
      <c r="AK24" s="9"/>
      <c r="AL24" s="9"/>
      <c r="AM24" s="12">
        <v>0</v>
      </c>
      <c r="AN24" s="12">
        <v>15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/>
      <c r="AV24" s="12">
        <v>0</v>
      </c>
      <c r="AW24" s="12">
        <v>0</v>
      </c>
      <c r="AX24" s="12">
        <v>0</v>
      </c>
      <c r="AY24" s="12">
        <v>0</v>
      </c>
      <c r="AZ24" s="14">
        <v>0</v>
      </c>
      <c r="BA24" s="14">
        <v>1</v>
      </c>
      <c r="BB24" s="14">
        <v>0</v>
      </c>
      <c r="BC24" s="12">
        <v>0</v>
      </c>
    </row>
    <row r="25" spans="1:55" ht="15.4" customHeight="1">
      <c r="A25" s="7" t="s">
        <v>90</v>
      </c>
      <c r="B25" s="8" t="s">
        <v>163</v>
      </c>
      <c r="C25" s="8" t="s">
        <v>164</v>
      </c>
      <c r="D25" s="7" t="s">
        <v>165</v>
      </c>
      <c r="E25" s="7" t="s">
        <v>83</v>
      </c>
      <c r="F25" s="7" t="s">
        <v>60</v>
      </c>
      <c r="G25" s="7" t="s">
        <v>61</v>
      </c>
      <c r="H25" s="7" t="s">
        <v>166</v>
      </c>
      <c r="I25" s="7" t="s">
        <v>172</v>
      </c>
      <c r="J25" s="8">
        <v>18</v>
      </c>
      <c r="K25" s="8"/>
      <c r="L25" s="8"/>
      <c r="M25" s="8"/>
      <c r="N25" s="8"/>
      <c r="O25" s="8"/>
      <c r="P25" s="8"/>
      <c r="Q25" s="7" t="s">
        <v>96</v>
      </c>
      <c r="R25" s="7" t="s">
        <v>64</v>
      </c>
      <c r="S25" s="9">
        <v>45498</v>
      </c>
      <c r="T25" s="9" t="s">
        <v>168</v>
      </c>
      <c r="U25" s="9" t="s">
        <v>169</v>
      </c>
      <c r="V25" s="9">
        <v>45546</v>
      </c>
      <c r="W25" s="9">
        <v>45560</v>
      </c>
      <c r="X25" s="9">
        <v>45561</v>
      </c>
      <c r="Y25" s="9">
        <v>45568</v>
      </c>
      <c r="Z25" s="9">
        <v>45579</v>
      </c>
      <c r="AA25" s="9">
        <v>45583</v>
      </c>
      <c r="AB25" s="7">
        <v>19</v>
      </c>
      <c r="AC25" s="7">
        <v>1</v>
      </c>
      <c r="AD25" s="9">
        <v>45583</v>
      </c>
      <c r="AE25" s="9">
        <v>45587</v>
      </c>
      <c r="AF25" s="9">
        <v>45597</v>
      </c>
      <c r="AG25" s="7" t="s">
        <v>78</v>
      </c>
      <c r="AH25" s="9">
        <v>45586</v>
      </c>
      <c r="AI25" s="12" t="s">
        <v>69</v>
      </c>
      <c r="AJ25" s="9"/>
      <c r="AK25" s="9"/>
      <c r="AL25" s="9"/>
      <c r="AM25" s="12">
        <v>0</v>
      </c>
      <c r="AN25" s="12">
        <v>18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/>
      <c r="AV25" s="12">
        <v>0</v>
      </c>
      <c r="AW25" s="12">
        <v>0</v>
      </c>
      <c r="AX25" s="12">
        <v>0</v>
      </c>
      <c r="AY25" s="12">
        <v>0</v>
      </c>
      <c r="AZ25" s="14">
        <v>0</v>
      </c>
      <c r="BA25" s="14">
        <v>1</v>
      </c>
      <c r="BB25" s="14">
        <v>0</v>
      </c>
      <c r="BC25" s="12">
        <v>0</v>
      </c>
    </row>
    <row r="26" spans="1:55" ht="15.4" customHeight="1">
      <c r="A26" s="7" t="s">
        <v>90</v>
      </c>
      <c r="B26" s="8" t="s">
        <v>163</v>
      </c>
      <c r="C26" s="8" t="s">
        <v>164</v>
      </c>
      <c r="D26" s="7" t="s">
        <v>165</v>
      </c>
      <c r="E26" s="7" t="s">
        <v>83</v>
      </c>
      <c r="F26" s="7" t="s">
        <v>60</v>
      </c>
      <c r="G26" s="7" t="s">
        <v>61</v>
      </c>
      <c r="H26" s="7" t="s">
        <v>166</v>
      </c>
      <c r="I26" s="7" t="s">
        <v>173</v>
      </c>
      <c r="J26" s="8">
        <v>20</v>
      </c>
      <c r="K26" s="8"/>
      <c r="L26" s="8"/>
      <c r="M26" s="8"/>
      <c r="N26" s="8"/>
      <c r="O26" s="8"/>
      <c r="P26" s="8"/>
      <c r="Q26" s="7" t="s">
        <v>96</v>
      </c>
      <c r="R26" s="7" t="s">
        <v>64</v>
      </c>
      <c r="S26" s="9">
        <v>45498</v>
      </c>
      <c r="T26" s="9" t="s">
        <v>66</v>
      </c>
      <c r="U26" s="9" t="s">
        <v>169</v>
      </c>
      <c r="V26" s="9">
        <v>45546</v>
      </c>
      <c r="W26" s="9">
        <v>45560</v>
      </c>
      <c r="X26" s="9">
        <v>45561</v>
      </c>
      <c r="Y26" s="9">
        <v>45568</v>
      </c>
      <c r="Z26" s="9">
        <v>45579</v>
      </c>
      <c r="AA26" s="9">
        <v>45583</v>
      </c>
      <c r="AB26" s="7">
        <v>21</v>
      </c>
      <c r="AC26" s="7">
        <v>1</v>
      </c>
      <c r="AD26" s="9">
        <v>41933</v>
      </c>
      <c r="AE26" s="9">
        <v>45587</v>
      </c>
      <c r="AF26" s="9">
        <v>45597</v>
      </c>
      <c r="AG26" s="7" t="s">
        <v>78</v>
      </c>
      <c r="AH26" s="9">
        <v>45586</v>
      </c>
      <c r="AI26" s="12" t="s">
        <v>69</v>
      </c>
      <c r="AJ26" s="9"/>
      <c r="AK26" s="9"/>
      <c r="AL26" s="9"/>
      <c r="AM26" s="12">
        <v>0</v>
      </c>
      <c r="AN26" s="12">
        <v>20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/>
      <c r="AV26" s="12">
        <v>0</v>
      </c>
      <c r="AW26" s="12">
        <v>0</v>
      </c>
      <c r="AX26" s="12">
        <v>0</v>
      </c>
      <c r="AY26" s="12">
        <v>0</v>
      </c>
      <c r="AZ26" s="14">
        <v>0</v>
      </c>
      <c r="BA26" s="14">
        <v>1</v>
      </c>
      <c r="BB26" s="14">
        <v>0</v>
      </c>
      <c r="BC26" s="12">
        <v>0</v>
      </c>
    </row>
    <row r="27" spans="1:55" ht="15.4" customHeight="1">
      <c r="A27" s="7" t="s">
        <v>90</v>
      </c>
      <c r="B27" s="8" t="s">
        <v>163</v>
      </c>
      <c r="C27" s="8" t="s">
        <v>164</v>
      </c>
      <c r="D27" s="7" t="s">
        <v>165</v>
      </c>
      <c r="E27" s="7" t="s">
        <v>83</v>
      </c>
      <c r="F27" s="7" t="s">
        <v>60</v>
      </c>
      <c r="G27" s="7" t="s">
        <v>61</v>
      </c>
      <c r="H27" s="7" t="s">
        <v>166</v>
      </c>
      <c r="I27" s="7" t="s">
        <v>174</v>
      </c>
      <c r="J27" s="8">
        <v>24</v>
      </c>
      <c r="K27" s="8"/>
      <c r="L27" s="8"/>
      <c r="M27" s="8"/>
      <c r="N27" s="8"/>
      <c r="O27" s="8"/>
      <c r="P27" s="8"/>
      <c r="Q27" s="7" t="s">
        <v>96</v>
      </c>
      <c r="R27" s="7" t="s">
        <v>64</v>
      </c>
      <c r="S27" s="9">
        <v>45498</v>
      </c>
      <c r="T27" s="9" t="s">
        <v>66</v>
      </c>
      <c r="U27" s="9" t="s">
        <v>169</v>
      </c>
      <c r="V27" s="9">
        <v>45546</v>
      </c>
      <c r="W27" s="9">
        <v>45560</v>
      </c>
      <c r="X27" s="9">
        <v>45561</v>
      </c>
      <c r="Y27" s="9">
        <v>45568</v>
      </c>
      <c r="Z27" s="9">
        <v>45579</v>
      </c>
      <c r="AA27" s="9">
        <v>45583</v>
      </c>
      <c r="AB27" s="7">
        <v>25</v>
      </c>
      <c r="AC27" s="7">
        <v>1</v>
      </c>
      <c r="AD27" s="9">
        <v>41933</v>
      </c>
      <c r="AE27" s="9">
        <v>45587</v>
      </c>
      <c r="AF27" s="9">
        <v>45597</v>
      </c>
      <c r="AG27" s="7" t="s">
        <v>78</v>
      </c>
      <c r="AH27" s="9">
        <v>45586</v>
      </c>
      <c r="AI27" s="12"/>
      <c r="AJ27" s="9"/>
      <c r="AK27" s="9"/>
      <c r="AL27" s="9"/>
      <c r="AM27" s="12">
        <v>0</v>
      </c>
      <c r="AN27" s="12">
        <v>24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/>
      <c r="AV27" s="12">
        <v>0</v>
      </c>
      <c r="AW27" s="12">
        <v>0</v>
      </c>
      <c r="AX27" s="12">
        <v>0</v>
      </c>
      <c r="AY27" s="12">
        <v>0</v>
      </c>
      <c r="AZ27" s="14">
        <v>0</v>
      </c>
      <c r="BA27" s="14">
        <v>1</v>
      </c>
      <c r="BB27" s="14">
        <v>0</v>
      </c>
      <c r="BC27" s="13">
        <v>0</v>
      </c>
    </row>
    <row r="28" spans="1:55" ht="15.4" customHeight="1">
      <c r="A28" s="7" t="s">
        <v>90</v>
      </c>
      <c r="B28" s="8" t="s">
        <v>163</v>
      </c>
      <c r="C28" s="8" t="s">
        <v>164</v>
      </c>
      <c r="D28" s="7" t="s">
        <v>165</v>
      </c>
      <c r="E28" s="7" t="s">
        <v>83</v>
      </c>
      <c r="F28" s="7" t="s">
        <v>60</v>
      </c>
      <c r="G28" s="7" t="s">
        <v>61</v>
      </c>
      <c r="H28" s="7" t="s">
        <v>166</v>
      </c>
      <c r="I28" s="7" t="s">
        <v>175</v>
      </c>
      <c r="J28" s="8">
        <v>24</v>
      </c>
      <c r="K28" s="8"/>
      <c r="L28" s="8"/>
      <c r="M28" s="8"/>
      <c r="N28" s="8"/>
      <c r="O28" s="8"/>
      <c r="P28" s="8"/>
      <c r="Q28" s="7" t="s">
        <v>96</v>
      </c>
      <c r="R28" s="7" t="s">
        <v>64</v>
      </c>
      <c r="S28" s="9">
        <v>45498</v>
      </c>
      <c r="T28" s="9" t="s">
        <v>66</v>
      </c>
      <c r="U28" s="9" t="s">
        <v>169</v>
      </c>
      <c r="V28" s="9">
        <v>45546</v>
      </c>
      <c r="W28" s="9">
        <v>45560</v>
      </c>
      <c r="X28" s="9">
        <v>45561</v>
      </c>
      <c r="Y28" s="9">
        <v>45568</v>
      </c>
      <c r="Z28" s="9">
        <v>45579</v>
      </c>
      <c r="AA28" s="9">
        <v>45583</v>
      </c>
      <c r="AB28" s="7">
        <v>25</v>
      </c>
      <c r="AC28" s="7">
        <v>1</v>
      </c>
      <c r="AD28" s="9">
        <v>41933</v>
      </c>
      <c r="AE28" s="9">
        <v>45587</v>
      </c>
      <c r="AF28" s="9">
        <v>45597</v>
      </c>
      <c r="AG28" s="7" t="s">
        <v>78</v>
      </c>
      <c r="AH28" s="9">
        <v>45586</v>
      </c>
      <c r="AI28" s="12" t="s">
        <v>69</v>
      </c>
      <c r="AJ28" s="9"/>
      <c r="AK28" s="9"/>
      <c r="AL28" s="9"/>
      <c r="AM28" s="12">
        <v>0</v>
      </c>
      <c r="AN28" s="12">
        <v>24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/>
      <c r="AV28" s="12">
        <v>0</v>
      </c>
      <c r="AW28" s="12">
        <v>0</v>
      </c>
      <c r="AX28" s="12">
        <v>0</v>
      </c>
      <c r="AY28" s="12">
        <v>0</v>
      </c>
      <c r="AZ28" s="14">
        <v>0</v>
      </c>
      <c r="BA28" s="14">
        <v>1</v>
      </c>
      <c r="BB28" s="14">
        <v>0</v>
      </c>
      <c r="BC28" s="13">
        <v>0</v>
      </c>
    </row>
    <row r="29" spans="1:55" ht="15.4" customHeight="1">
      <c r="A29" s="7" t="s">
        <v>90</v>
      </c>
      <c r="B29" s="8" t="s">
        <v>163</v>
      </c>
      <c r="C29" s="8" t="s">
        <v>164</v>
      </c>
      <c r="D29" s="7" t="s">
        <v>165</v>
      </c>
      <c r="E29" s="7" t="s">
        <v>83</v>
      </c>
      <c r="F29" s="7" t="s">
        <v>60</v>
      </c>
      <c r="G29" s="7" t="s">
        <v>61</v>
      </c>
      <c r="H29" s="7" t="s">
        <v>166</v>
      </c>
      <c r="I29" s="7" t="s">
        <v>176</v>
      </c>
      <c r="J29" s="8">
        <v>22</v>
      </c>
      <c r="K29" s="8"/>
      <c r="L29" s="8"/>
      <c r="M29" s="8"/>
      <c r="N29" s="8"/>
      <c r="O29" s="8"/>
      <c r="P29" s="8"/>
      <c r="Q29" s="7" t="s">
        <v>96</v>
      </c>
      <c r="R29" s="7" t="s">
        <v>64</v>
      </c>
      <c r="S29" s="9">
        <v>45498</v>
      </c>
      <c r="T29" s="9" t="s">
        <v>66</v>
      </c>
      <c r="U29" s="9" t="s">
        <v>169</v>
      </c>
      <c r="V29" s="9">
        <v>45546</v>
      </c>
      <c r="W29" s="9">
        <v>45560</v>
      </c>
      <c r="X29" s="9">
        <v>45561</v>
      </c>
      <c r="Y29" s="9">
        <v>45568</v>
      </c>
      <c r="Z29" s="9">
        <v>45579</v>
      </c>
      <c r="AA29" s="9">
        <v>45583</v>
      </c>
      <c r="AB29" s="7">
        <v>25</v>
      </c>
      <c r="AC29" s="7">
        <v>1</v>
      </c>
      <c r="AD29" s="9">
        <v>41933</v>
      </c>
      <c r="AE29" s="9">
        <v>45587</v>
      </c>
      <c r="AF29" s="9">
        <v>45597</v>
      </c>
      <c r="AG29" s="7" t="s">
        <v>78</v>
      </c>
      <c r="AH29" s="9">
        <v>45586</v>
      </c>
      <c r="AI29" s="12" t="s">
        <v>69</v>
      </c>
      <c r="AJ29" s="9"/>
      <c r="AK29" s="9"/>
      <c r="AL29" s="9"/>
      <c r="AM29" s="12">
        <v>0</v>
      </c>
      <c r="AN29" s="12">
        <v>24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/>
      <c r="AV29" s="12">
        <v>0</v>
      </c>
      <c r="AW29" s="12">
        <v>0</v>
      </c>
      <c r="AX29" s="12">
        <v>0</v>
      </c>
      <c r="AY29" s="12">
        <v>0</v>
      </c>
      <c r="AZ29" s="14">
        <v>0</v>
      </c>
      <c r="BA29" s="14">
        <v>1</v>
      </c>
      <c r="BB29" s="14">
        <v>0</v>
      </c>
      <c r="BC29" s="13">
        <v>0</v>
      </c>
    </row>
    <row r="30" spans="1:55" ht="15.4" customHeight="1">
      <c r="A30" s="7" t="s">
        <v>90</v>
      </c>
      <c r="B30" s="8" t="s">
        <v>163</v>
      </c>
      <c r="C30" s="8" t="s">
        <v>164</v>
      </c>
      <c r="D30" s="7" t="s">
        <v>165</v>
      </c>
      <c r="E30" s="7" t="s">
        <v>83</v>
      </c>
      <c r="F30" s="7" t="s">
        <v>60</v>
      </c>
      <c r="G30" s="7" t="s">
        <v>61</v>
      </c>
      <c r="H30" s="7" t="s">
        <v>166</v>
      </c>
      <c r="I30" s="7" t="s">
        <v>177</v>
      </c>
      <c r="J30" s="8">
        <v>24</v>
      </c>
      <c r="K30" s="8"/>
      <c r="L30" s="8"/>
      <c r="M30" s="8"/>
      <c r="N30" s="8"/>
      <c r="O30" s="8"/>
      <c r="P30" s="8"/>
      <c r="Q30" s="7" t="s">
        <v>96</v>
      </c>
      <c r="R30" s="7" t="s">
        <v>64</v>
      </c>
      <c r="S30" s="9">
        <v>45498</v>
      </c>
      <c r="T30" s="9" t="s">
        <v>66</v>
      </c>
      <c r="U30" s="9" t="s">
        <v>169</v>
      </c>
      <c r="V30" s="9">
        <v>45546</v>
      </c>
      <c r="W30" s="9">
        <v>45560</v>
      </c>
      <c r="X30" s="9">
        <v>45561</v>
      </c>
      <c r="Y30" s="9">
        <v>45568</v>
      </c>
      <c r="Z30" s="9">
        <v>45579</v>
      </c>
      <c r="AA30" s="9">
        <v>45583</v>
      </c>
      <c r="AB30" s="7">
        <v>25</v>
      </c>
      <c r="AC30" s="7">
        <v>1</v>
      </c>
      <c r="AD30" s="9">
        <v>41933</v>
      </c>
      <c r="AE30" s="9">
        <v>45587</v>
      </c>
      <c r="AF30" s="9">
        <v>45597</v>
      </c>
      <c r="AG30" s="7" t="s">
        <v>78</v>
      </c>
      <c r="AH30" s="9">
        <v>45586</v>
      </c>
      <c r="AI30" s="12" t="s">
        <v>69</v>
      </c>
      <c r="AJ30" s="9"/>
      <c r="AK30" s="9"/>
      <c r="AL30" s="9"/>
      <c r="AM30" s="12">
        <v>0</v>
      </c>
      <c r="AN30" s="12">
        <v>24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/>
      <c r="AV30" s="12">
        <v>0</v>
      </c>
      <c r="AW30" s="12">
        <v>0</v>
      </c>
      <c r="AX30" s="12">
        <v>0</v>
      </c>
      <c r="AY30" s="12">
        <v>0</v>
      </c>
      <c r="AZ30" s="14">
        <v>0</v>
      </c>
      <c r="BA30" s="14">
        <v>1</v>
      </c>
      <c r="BB30" s="14">
        <v>0</v>
      </c>
      <c r="BC30" s="13">
        <v>0</v>
      </c>
    </row>
    <row r="31" spans="1:55" ht="15.4" customHeight="1">
      <c r="A31" s="7" t="s">
        <v>90</v>
      </c>
      <c r="B31" s="8" t="s">
        <v>163</v>
      </c>
      <c r="C31" s="8" t="s">
        <v>164</v>
      </c>
      <c r="D31" s="7" t="s">
        <v>165</v>
      </c>
      <c r="E31" s="7" t="s">
        <v>83</v>
      </c>
      <c r="F31" s="7" t="s">
        <v>60</v>
      </c>
      <c r="G31" s="7" t="s">
        <v>61</v>
      </c>
      <c r="H31" s="7" t="s">
        <v>166</v>
      </c>
      <c r="I31" s="7" t="s">
        <v>178</v>
      </c>
      <c r="J31" s="8">
        <v>24</v>
      </c>
      <c r="K31" s="8"/>
      <c r="L31" s="8"/>
      <c r="M31" s="8"/>
      <c r="N31" s="8"/>
      <c r="O31" s="8"/>
      <c r="P31" s="8"/>
      <c r="Q31" s="7" t="s">
        <v>96</v>
      </c>
      <c r="R31" s="7" t="s">
        <v>64</v>
      </c>
      <c r="S31" s="9">
        <v>45498</v>
      </c>
      <c r="T31" s="9" t="s">
        <v>179</v>
      </c>
      <c r="U31" s="9" t="s">
        <v>169</v>
      </c>
      <c r="V31" s="9">
        <v>45546</v>
      </c>
      <c r="W31" s="9">
        <v>45560</v>
      </c>
      <c r="X31" s="9">
        <v>45561</v>
      </c>
      <c r="Y31" s="9">
        <v>45568</v>
      </c>
      <c r="Z31" s="9">
        <v>45579</v>
      </c>
      <c r="AA31" s="9">
        <v>45583</v>
      </c>
      <c r="AB31" s="7">
        <v>25</v>
      </c>
      <c r="AC31" s="7">
        <v>1</v>
      </c>
      <c r="AD31" s="9">
        <v>45583</v>
      </c>
      <c r="AE31" s="9">
        <v>45587</v>
      </c>
      <c r="AF31" s="9">
        <v>45597</v>
      </c>
      <c r="AG31" s="7" t="s">
        <v>78</v>
      </c>
      <c r="AH31" s="9">
        <v>45586</v>
      </c>
      <c r="AI31" s="12" t="s">
        <v>69</v>
      </c>
      <c r="AJ31" s="9"/>
      <c r="AK31" s="9"/>
      <c r="AL31" s="9"/>
      <c r="AM31" s="12">
        <v>0</v>
      </c>
      <c r="AN31" s="12">
        <v>24</v>
      </c>
      <c r="AO31" s="12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/>
      <c r="AV31" s="12">
        <v>0</v>
      </c>
      <c r="AW31" s="12">
        <v>0</v>
      </c>
      <c r="AX31" s="12">
        <v>0</v>
      </c>
      <c r="AY31" s="12">
        <v>0</v>
      </c>
      <c r="AZ31" s="14">
        <v>0</v>
      </c>
      <c r="BA31" s="14">
        <v>1</v>
      </c>
      <c r="BB31" s="14">
        <v>0</v>
      </c>
      <c r="BC31" s="13">
        <v>0</v>
      </c>
    </row>
    <row r="32" spans="1:55" ht="15.4" customHeight="1">
      <c r="A32" s="7" t="s">
        <v>90</v>
      </c>
      <c r="B32" s="8" t="s">
        <v>163</v>
      </c>
      <c r="C32" s="8" t="s">
        <v>164</v>
      </c>
      <c r="D32" s="7" t="s">
        <v>165</v>
      </c>
      <c r="E32" s="7" t="s">
        <v>83</v>
      </c>
      <c r="F32" s="7" t="s">
        <v>60</v>
      </c>
      <c r="G32" s="7" t="s">
        <v>61</v>
      </c>
      <c r="H32" s="7" t="s">
        <v>166</v>
      </c>
      <c r="I32" s="7" t="s">
        <v>180</v>
      </c>
      <c r="J32" s="8">
        <v>22</v>
      </c>
      <c r="K32" s="8"/>
      <c r="L32" s="8"/>
      <c r="M32" s="8"/>
      <c r="N32" s="8"/>
      <c r="O32" s="8"/>
      <c r="P32" s="8"/>
      <c r="Q32" s="7" t="s">
        <v>96</v>
      </c>
      <c r="R32" s="7" t="s">
        <v>64</v>
      </c>
      <c r="S32" s="9">
        <v>45498</v>
      </c>
      <c r="T32" s="9" t="s">
        <v>168</v>
      </c>
      <c r="U32" s="9" t="s">
        <v>169</v>
      </c>
      <c r="V32" s="9">
        <v>45546</v>
      </c>
      <c r="W32" s="9">
        <v>45560</v>
      </c>
      <c r="X32" s="9">
        <v>45561</v>
      </c>
      <c r="Y32" s="9">
        <v>45568</v>
      </c>
      <c r="Z32" s="9">
        <v>45579</v>
      </c>
      <c r="AA32" s="9">
        <v>45583</v>
      </c>
      <c r="AB32" s="7">
        <v>25</v>
      </c>
      <c r="AC32" s="7">
        <v>1</v>
      </c>
      <c r="AD32" s="9">
        <v>45583</v>
      </c>
      <c r="AE32" s="9">
        <v>45587</v>
      </c>
      <c r="AF32" s="9">
        <v>45597</v>
      </c>
      <c r="AG32" s="7" t="s">
        <v>78</v>
      </c>
      <c r="AH32" s="9">
        <v>45586</v>
      </c>
      <c r="AI32" s="12" t="s">
        <v>69</v>
      </c>
      <c r="AJ32" s="9"/>
      <c r="AK32" s="9"/>
      <c r="AL32" s="9"/>
      <c r="AM32" s="12">
        <v>0</v>
      </c>
      <c r="AN32" s="12">
        <v>24</v>
      </c>
      <c r="AO32" s="12">
        <v>0</v>
      </c>
      <c r="AP32" s="12">
        <v>0</v>
      </c>
      <c r="AQ32" s="12">
        <v>0</v>
      </c>
      <c r="AR32" s="12">
        <v>0</v>
      </c>
      <c r="AS32" s="12">
        <v>0</v>
      </c>
      <c r="AT32" s="12">
        <v>0</v>
      </c>
      <c r="AU32" s="12"/>
      <c r="AV32" s="12">
        <v>0</v>
      </c>
      <c r="AW32" s="12">
        <v>0</v>
      </c>
      <c r="AX32" s="12">
        <v>0</v>
      </c>
      <c r="AY32" s="12">
        <v>0</v>
      </c>
      <c r="AZ32" s="14">
        <v>0</v>
      </c>
      <c r="BA32" s="14">
        <v>1</v>
      </c>
      <c r="BB32" s="14">
        <v>0</v>
      </c>
      <c r="BC32" s="13">
        <v>0</v>
      </c>
    </row>
    <row r="33" spans="1:55" ht="15.4" customHeight="1">
      <c r="A33" s="7" t="s">
        <v>70</v>
      </c>
      <c r="B33" s="8" t="s">
        <v>149</v>
      </c>
      <c r="C33" s="7" t="s">
        <v>150</v>
      </c>
      <c r="D33" s="7" t="s">
        <v>181</v>
      </c>
      <c r="E33" s="7" t="s">
        <v>123</v>
      </c>
      <c r="F33" s="7" t="s">
        <v>60</v>
      </c>
      <c r="G33" s="9" t="s">
        <v>61</v>
      </c>
      <c r="H33" s="7" t="s">
        <v>182</v>
      </c>
      <c r="I33" s="7" t="s">
        <v>183</v>
      </c>
      <c r="J33" s="8">
        <v>34</v>
      </c>
      <c r="K33" s="8"/>
      <c r="L33" s="8"/>
      <c r="M33" s="8"/>
      <c r="N33" s="8"/>
      <c r="O33" s="8"/>
      <c r="P33" s="8"/>
      <c r="Q33" s="7">
        <v>1</v>
      </c>
      <c r="R33" s="7" t="s">
        <v>64</v>
      </c>
      <c r="S33" s="7"/>
      <c r="T33" s="9" t="s">
        <v>77</v>
      </c>
      <c r="U33" s="7" t="s">
        <v>77</v>
      </c>
      <c r="V33" s="9">
        <v>45546</v>
      </c>
      <c r="W33" s="9">
        <v>45566</v>
      </c>
      <c r="X33" s="9">
        <v>45566</v>
      </c>
      <c r="Y33" s="9">
        <v>45568</v>
      </c>
      <c r="Z33" s="9">
        <v>45580</v>
      </c>
      <c r="AA33" s="9">
        <v>45583</v>
      </c>
      <c r="AB33" s="7">
        <v>34</v>
      </c>
      <c r="AC33" s="7">
        <v>1</v>
      </c>
      <c r="AD33" s="9">
        <v>41933</v>
      </c>
      <c r="AE33" s="9">
        <v>45587</v>
      </c>
      <c r="AF33" s="9">
        <v>45597</v>
      </c>
      <c r="AG33" s="7" t="s">
        <v>78</v>
      </c>
      <c r="AH33" s="9">
        <v>45590</v>
      </c>
      <c r="AI33" s="15"/>
      <c r="AJ33" s="12"/>
      <c r="AK33" s="12"/>
      <c r="AL33" s="12"/>
      <c r="AM33" s="14">
        <v>0</v>
      </c>
      <c r="AN33" s="14">
        <v>2</v>
      </c>
      <c r="AO33" s="12">
        <v>0</v>
      </c>
      <c r="AP33" s="14">
        <v>1</v>
      </c>
      <c r="AQ33" s="14">
        <v>1</v>
      </c>
      <c r="AR33" s="14">
        <v>0</v>
      </c>
      <c r="AS33" s="14">
        <v>0</v>
      </c>
      <c r="AT33" s="14">
        <v>0</v>
      </c>
      <c r="AU33" s="14"/>
      <c r="AV33" s="14">
        <v>0</v>
      </c>
      <c r="AW33" s="14">
        <v>0</v>
      </c>
      <c r="AX33" s="14">
        <v>0</v>
      </c>
      <c r="AY33" s="14">
        <v>0</v>
      </c>
      <c r="AZ33" s="12">
        <v>0</v>
      </c>
      <c r="BA33" s="12">
        <v>0</v>
      </c>
      <c r="BB33" s="12">
        <v>0</v>
      </c>
      <c r="BC33" s="13">
        <v>0</v>
      </c>
    </row>
    <row r="34" spans="1:55" ht="15.4" customHeight="1">
      <c r="A34" s="7" t="s">
        <v>184</v>
      </c>
      <c r="B34" s="8" t="s">
        <v>81</v>
      </c>
      <c r="C34" s="7"/>
      <c r="D34" s="7" t="s">
        <v>82</v>
      </c>
      <c r="E34" s="7" t="s">
        <v>159</v>
      </c>
      <c r="F34" s="7" t="s">
        <v>60</v>
      </c>
      <c r="G34" s="9" t="s">
        <v>61</v>
      </c>
      <c r="H34" s="8" t="s">
        <v>185</v>
      </c>
      <c r="I34" s="7" t="s">
        <v>186</v>
      </c>
      <c r="J34" s="8">
        <v>12</v>
      </c>
      <c r="K34" s="8"/>
      <c r="L34" s="8"/>
      <c r="M34" s="8"/>
      <c r="N34" s="8"/>
      <c r="O34" s="8"/>
      <c r="P34" s="8"/>
      <c r="Q34" s="7" t="s">
        <v>87</v>
      </c>
      <c r="R34" s="7" t="s">
        <v>187</v>
      </c>
      <c r="S34" s="9">
        <v>45601</v>
      </c>
      <c r="T34" s="7" t="s">
        <v>66</v>
      </c>
      <c r="U34" s="7" t="s">
        <v>61</v>
      </c>
      <c r="V34" s="9">
        <v>45620</v>
      </c>
      <c r="W34" s="7" t="s">
        <v>89</v>
      </c>
      <c r="X34" s="7" t="s">
        <v>89</v>
      </c>
      <c r="Y34" s="7" t="s">
        <v>89</v>
      </c>
      <c r="Z34" s="7" t="s">
        <v>89</v>
      </c>
      <c r="AA34" s="9" t="s">
        <v>89</v>
      </c>
      <c r="AB34" s="7" t="s">
        <v>89</v>
      </c>
      <c r="AC34" s="7">
        <v>1</v>
      </c>
      <c r="AD34" s="9" t="s">
        <v>89</v>
      </c>
      <c r="AE34" s="9">
        <v>45636</v>
      </c>
      <c r="AF34" s="9">
        <v>45616</v>
      </c>
      <c r="AG34" s="7" t="s">
        <v>89</v>
      </c>
      <c r="AH34" s="25" t="s">
        <v>88</v>
      </c>
      <c r="AI34" s="12"/>
      <c r="AJ34" s="12"/>
      <c r="AK34" s="12"/>
      <c r="AL34" s="12"/>
      <c r="AM34" s="14">
        <v>0</v>
      </c>
      <c r="AN34" s="14">
        <v>12</v>
      </c>
      <c r="AO34" s="14">
        <v>0</v>
      </c>
      <c r="AP34" s="14">
        <v>0</v>
      </c>
      <c r="AQ34" s="14">
        <v>0</v>
      </c>
      <c r="AR34" s="14">
        <v>0</v>
      </c>
      <c r="AS34" s="14">
        <v>0</v>
      </c>
      <c r="AT34" s="14">
        <v>0</v>
      </c>
      <c r="AU34" s="14"/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0</v>
      </c>
      <c r="BB34" s="14">
        <v>0</v>
      </c>
      <c r="BC34" s="14">
        <v>0</v>
      </c>
    </row>
    <row r="35" spans="1:55" ht="15.4" customHeight="1">
      <c r="A35" s="7" t="s">
        <v>184</v>
      </c>
      <c r="B35" s="8"/>
      <c r="C35" s="7"/>
      <c r="D35" s="7" t="s">
        <v>82</v>
      </c>
      <c r="E35" s="7" t="s">
        <v>159</v>
      </c>
      <c r="F35" s="7" t="s">
        <v>60</v>
      </c>
      <c r="G35" s="9" t="s">
        <v>61</v>
      </c>
      <c r="H35" s="8" t="s">
        <v>185</v>
      </c>
      <c r="I35" s="7" t="s">
        <v>188</v>
      </c>
      <c r="J35" s="8">
        <v>4</v>
      </c>
      <c r="K35" s="8"/>
      <c r="L35" s="8"/>
      <c r="M35" s="8"/>
      <c r="N35" s="8"/>
      <c r="O35" s="8"/>
      <c r="P35" s="8"/>
      <c r="Q35" s="7" t="s">
        <v>87</v>
      </c>
      <c r="R35" s="7" t="s">
        <v>189</v>
      </c>
      <c r="S35" s="9">
        <v>45601</v>
      </c>
      <c r="T35" s="7" t="s">
        <v>190</v>
      </c>
      <c r="U35" s="7" t="s">
        <v>61</v>
      </c>
      <c r="V35" s="9">
        <v>45620</v>
      </c>
      <c r="W35" s="7"/>
      <c r="X35" s="7"/>
      <c r="Y35" s="7"/>
      <c r="Z35" s="7"/>
      <c r="AA35" s="9" t="s">
        <v>89</v>
      </c>
      <c r="AB35" s="7"/>
      <c r="AC35" s="7">
        <v>1</v>
      </c>
      <c r="AD35" s="9" t="s">
        <v>89</v>
      </c>
      <c r="AE35" s="9"/>
      <c r="AF35" s="9"/>
      <c r="AG35" s="7" t="s">
        <v>89</v>
      </c>
      <c r="AH35" s="25" t="s">
        <v>88</v>
      </c>
      <c r="AI35" s="12"/>
      <c r="AJ35" s="12"/>
      <c r="AK35" s="12"/>
      <c r="AL35" s="12"/>
      <c r="AM35" s="14">
        <v>0</v>
      </c>
      <c r="AN35" s="14">
        <v>4</v>
      </c>
      <c r="AO35" s="14">
        <v>0</v>
      </c>
      <c r="AP35" s="14">
        <v>0</v>
      </c>
      <c r="AQ35" s="14">
        <v>0</v>
      </c>
      <c r="AR35" s="14">
        <v>0</v>
      </c>
      <c r="AS35" s="14">
        <v>0</v>
      </c>
      <c r="AT35" s="14">
        <v>0</v>
      </c>
      <c r="AU35" s="14"/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0</v>
      </c>
      <c r="BB35" s="14">
        <v>0</v>
      </c>
      <c r="BC35" s="14">
        <v>0</v>
      </c>
    </row>
    <row r="36" spans="1:55" ht="15.4" customHeight="1">
      <c r="A36" s="7" t="s">
        <v>155</v>
      </c>
      <c r="B36" s="8" t="s">
        <v>191</v>
      </c>
      <c r="C36" s="8" t="s">
        <v>192</v>
      </c>
      <c r="D36" s="7" t="s">
        <v>193</v>
      </c>
      <c r="E36" s="7" t="s">
        <v>159</v>
      </c>
      <c r="F36" s="7" t="s">
        <v>60</v>
      </c>
      <c r="G36" s="7" t="s">
        <v>61</v>
      </c>
      <c r="H36" s="7" t="s">
        <v>194</v>
      </c>
      <c r="I36" s="7" t="s">
        <v>195</v>
      </c>
      <c r="J36" s="8">
        <v>15</v>
      </c>
      <c r="K36" s="8"/>
      <c r="L36" s="8"/>
      <c r="M36" s="8"/>
      <c r="N36" s="8"/>
      <c r="O36" s="8"/>
      <c r="P36" s="8"/>
      <c r="Q36" s="7">
        <v>1</v>
      </c>
      <c r="R36" s="7" t="s">
        <v>64</v>
      </c>
      <c r="S36" s="9">
        <v>45498</v>
      </c>
      <c r="T36" s="9" t="s">
        <v>88</v>
      </c>
      <c r="U36" s="7" t="s">
        <v>77</v>
      </c>
      <c r="V36" s="9">
        <v>45545</v>
      </c>
      <c r="W36" s="9">
        <v>45559</v>
      </c>
      <c r="X36" s="9">
        <v>45559</v>
      </c>
      <c r="Y36" s="9">
        <v>45565</v>
      </c>
      <c r="Z36" s="9">
        <v>45579</v>
      </c>
      <c r="AA36" s="9">
        <v>45579</v>
      </c>
      <c r="AB36" s="7">
        <v>16</v>
      </c>
      <c r="AC36" s="7">
        <v>1</v>
      </c>
      <c r="AD36" s="9">
        <v>41933</v>
      </c>
      <c r="AE36" s="9">
        <v>45587</v>
      </c>
      <c r="AF36" s="9">
        <v>45597</v>
      </c>
      <c r="AG36" s="7" t="s">
        <v>78</v>
      </c>
      <c r="AH36" s="9">
        <v>45600</v>
      </c>
      <c r="AI36" s="12"/>
      <c r="AJ36" s="12"/>
      <c r="AK36" s="12"/>
      <c r="AL36" s="12"/>
      <c r="AM36" s="14">
        <v>0</v>
      </c>
      <c r="AN36" s="14">
        <v>15</v>
      </c>
      <c r="AO36" s="12">
        <v>0</v>
      </c>
      <c r="AP36" s="14">
        <v>1</v>
      </c>
      <c r="AQ36" s="14">
        <v>1</v>
      </c>
      <c r="AR36" s="14">
        <v>0</v>
      </c>
      <c r="AS36" s="14">
        <v>0</v>
      </c>
      <c r="AT36" s="14">
        <v>0</v>
      </c>
      <c r="AU36" s="14"/>
      <c r="AV36" s="14">
        <v>0</v>
      </c>
      <c r="AW36" s="14">
        <v>0</v>
      </c>
      <c r="AX36" s="14">
        <v>0</v>
      </c>
      <c r="AY36" s="14">
        <v>0</v>
      </c>
      <c r="AZ36" s="12">
        <v>0</v>
      </c>
      <c r="BA36" s="12">
        <v>0</v>
      </c>
      <c r="BB36" s="12">
        <v>0</v>
      </c>
      <c r="BC36" s="12">
        <v>0</v>
      </c>
    </row>
    <row r="37" spans="1:55" ht="15.4" customHeight="1">
      <c r="A37" s="7" t="s">
        <v>184</v>
      </c>
      <c r="B37" s="8" t="s">
        <v>81</v>
      </c>
      <c r="C37" s="7"/>
      <c r="D37" s="7" t="s">
        <v>82</v>
      </c>
      <c r="E37" s="7" t="s">
        <v>123</v>
      </c>
      <c r="F37" s="7" t="s">
        <v>60</v>
      </c>
      <c r="G37" s="9" t="s">
        <v>61</v>
      </c>
      <c r="H37" s="7" t="s">
        <v>196</v>
      </c>
      <c r="I37" s="7" t="s">
        <v>197</v>
      </c>
      <c r="J37" s="8">
        <v>14</v>
      </c>
      <c r="K37" s="8"/>
      <c r="L37" s="8"/>
      <c r="M37" s="8"/>
      <c r="N37" s="8"/>
      <c r="O37" s="8"/>
      <c r="P37" s="8"/>
      <c r="Q37" s="7" t="s">
        <v>87</v>
      </c>
      <c r="R37" s="7" t="s">
        <v>187</v>
      </c>
      <c r="S37" s="9">
        <v>45601</v>
      </c>
      <c r="T37" s="7" t="s">
        <v>88</v>
      </c>
      <c r="U37" s="7" t="s">
        <v>77</v>
      </c>
      <c r="V37" s="9">
        <v>45621</v>
      </c>
      <c r="W37" s="7" t="s">
        <v>89</v>
      </c>
      <c r="X37" s="7" t="s">
        <v>89</v>
      </c>
      <c r="Y37" s="7" t="s">
        <v>89</v>
      </c>
      <c r="Z37" s="7" t="s">
        <v>89</v>
      </c>
      <c r="AA37" s="9" t="s">
        <v>89</v>
      </c>
      <c r="AB37" s="7" t="s">
        <v>89</v>
      </c>
      <c r="AC37" s="7">
        <v>1</v>
      </c>
      <c r="AD37" s="9" t="s">
        <v>89</v>
      </c>
      <c r="AE37" s="9">
        <v>45636</v>
      </c>
      <c r="AF37" s="9">
        <v>45616</v>
      </c>
      <c r="AG37" s="7" t="s">
        <v>89</v>
      </c>
      <c r="AH37" s="26">
        <v>45644</v>
      </c>
      <c r="AI37" s="12"/>
      <c r="AJ37" s="12"/>
      <c r="AK37" s="12"/>
      <c r="AL37" s="12"/>
      <c r="AM37" s="14">
        <v>0</v>
      </c>
      <c r="AN37" s="14">
        <v>14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/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0</v>
      </c>
      <c r="BB37" s="14">
        <v>0</v>
      </c>
      <c r="BC37" s="12">
        <v>0</v>
      </c>
    </row>
    <row r="38" spans="1:55" ht="15.4" customHeight="1">
      <c r="A38" s="7" t="s">
        <v>184</v>
      </c>
      <c r="B38" s="8" t="s">
        <v>81</v>
      </c>
      <c r="C38" s="7"/>
      <c r="D38" s="7" t="s">
        <v>82</v>
      </c>
      <c r="E38" s="7" t="s">
        <v>74</v>
      </c>
      <c r="F38" s="7" t="s">
        <v>60</v>
      </c>
      <c r="G38" s="7" t="s">
        <v>61</v>
      </c>
      <c r="H38" s="7" t="s">
        <v>198</v>
      </c>
      <c r="I38" s="7" t="s">
        <v>199</v>
      </c>
      <c r="J38" s="8" t="s">
        <v>200</v>
      </c>
      <c r="K38" s="8"/>
      <c r="L38" s="8"/>
      <c r="M38" s="8"/>
      <c r="N38" s="8"/>
      <c r="O38" s="8"/>
      <c r="P38" s="8"/>
      <c r="Q38" s="7" t="s">
        <v>87</v>
      </c>
      <c r="R38" s="7" t="s">
        <v>187</v>
      </c>
      <c r="S38" s="9">
        <v>45601</v>
      </c>
      <c r="T38" s="7" t="s">
        <v>88</v>
      </c>
      <c r="U38" s="7" t="s">
        <v>77</v>
      </c>
      <c r="V38" s="9">
        <v>45621</v>
      </c>
      <c r="W38" s="7"/>
      <c r="X38" s="7"/>
      <c r="Y38" s="7"/>
      <c r="Z38" s="7"/>
      <c r="AA38" s="9" t="s">
        <v>89</v>
      </c>
      <c r="AB38" s="7"/>
      <c r="AC38" s="7">
        <v>1</v>
      </c>
      <c r="AD38" s="9" t="s">
        <v>89</v>
      </c>
      <c r="AE38" s="9"/>
      <c r="AF38" s="9"/>
      <c r="AG38" s="7" t="s">
        <v>89</v>
      </c>
      <c r="AH38" s="25" t="s">
        <v>88</v>
      </c>
      <c r="AI38" s="12"/>
      <c r="AJ38" s="12"/>
      <c r="AK38" s="12"/>
      <c r="AL38" s="12"/>
      <c r="AM38" s="14">
        <v>0</v>
      </c>
      <c r="AN38" s="14">
        <v>4</v>
      </c>
      <c r="AO38" s="14">
        <v>0</v>
      </c>
      <c r="AP38" s="14">
        <v>0</v>
      </c>
      <c r="AQ38" s="14">
        <v>0</v>
      </c>
      <c r="AR38" s="14">
        <v>0</v>
      </c>
      <c r="AS38" s="14">
        <v>0</v>
      </c>
      <c r="AT38" s="14">
        <v>0</v>
      </c>
      <c r="AU38" s="14"/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0</v>
      </c>
      <c r="BB38" s="14">
        <v>0</v>
      </c>
      <c r="BC38" s="14">
        <v>0</v>
      </c>
    </row>
    <row r="39" spans="1:55" ht="15.4" customHeight="1">
      <c r="A39" s="7" t="s">
        <v>184</v>
      </c>
      <c r="B39" s="8" t="s">
        <v>81</v>
      </c>
      <c r="C39" s="7"/>
      <c r="D39" s="7" t="s">
        <v>82</v>
      </c>
      <c r="E39" s="7" t="s">
        <v>123</v>
      </c>
      <c r="F39" s="7" t="s">
        <v>60</v>
      </c>
      <c r="G39" s="7" t="s">
        <v>61</v>
      </c>
      <c r="H39" s="7" t="s">
        <v>201</v>
      </c>
      <c r="I39" s="7" t="s">
        <v>202</v>
      </c>
      <c r="J39" s="8" t="s">
        <v>200</v>
      </c>
      <c r="K39" s="8"/>
      <c r="L39" s="8"/>
      <c r="M39" s="8"/>
      <c r="N39" s="8"/>
      <c r="O39" s="8"/>
      <c r="P39" s="8"/>
      <c r="Q39" s="7" t="s">
        <v>87</v>
      </c>
      <c r="R39" s="7" t="s">
        <v>187</v>
      </c>
      <c r="S39" s="9">
        <v>45601</v>
      </c>
      <c r="T39" s="7" t="s">
        <v>88</v>
      </c>
      <c r="U39" s="7" t="s">
        <v>77</v>
      </c>
      <c r="V39" s="9">
        <v>45621</v>
      </c>
      <c r="W39" s="7"/>
      <c r="X39" s="7"/>
      <c r="Y39" s="7"/>
      <c r="Z39" s="7"/>
      <c r="AA39" s="9" t="s">
        <v>89</v>
      </c>
      <c r="AB39" s="7"/>
      <c r="AC39" s="7">
        <v>1</v>
      </c>
      <c r="AD39" s="9" t="s">
        <v>89</v>
      </c>
      <c r="AE39" s="9"/>
      <c r="AF39" s="9"/>
      <c r="AG39" s="7" t="s">
        <v>89</v>
      </c>
      <c r="AH39" s="25" t="s">
        <v>88</v>
      </c>
      <c r="AI39" s="12"/>
      <c r="AJ39" s="12"/>
      <c r="AK39" s="12"/>
      <c r="AL39" s="12"/>
      <c r="AM39" s="14">
        <v>0</v>
      </c>
      <c r="AN39" s="14">
        <v>4</v>
      </c>
      <c r="AO39" s="14">
        <v>0</v>
      </c>
      <c r="AP39" s="14">
        <v>0</v>
      </c>
      <c r="AQ39" s="14">
        <v>0</v>
      </c>
      <c r="AR39" s="14">
        <v>0</v>
      </c>
      <c r="AS39" s="14">
        <v>0</v>
      </c>
      <c r="AT39" s="14">
        <v>0</v>
      </c>
      <c r="AU39" s="14"/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0</v>
      </c>
      <c r="BB39" s="14">
        <v>0</v>
      </c>
      <c r="BC39" s="12">
        <v>0</v>
      </c>
    </row>
    <row r="40" spans="1:55">
      <c r="I40" s="5"/>
      <c r="AO40" s="11"/>
    </row>
    <row r="41" spans="1:55">
      <c r="A41" s="12" t="s">
        <v>184</v>
      </c>
      <c r="E41" s="12" t="s">
        <v>74</v>
      </c>
      <c r="F41" s="12" t="s">
        <v>60</v>
      </c>
      <c r="G41" s="7" t="s">
        <v>61</v>
      </c>
      <c r="H41" s="12" t="s">
        <v>203</v>
      </c>
      <c r="I41" s="12" t="s">
        <v>204</v>
      </c>
      <c r="J41" s="17"/>
      <c r="K41" s="17">
        <v>302</v>
      </c>
      <c r="L41" s="17">
        <v>154</v>
      </c>
      <c r="M41" s="17">
        <v>148</v>
      </c>
      <c r="N41" s="17">
        <v>9</v>
      </c>
      <c r="O41" s="17">
        <v>22</v>
      </c>
      <c r="P41" s="17">
        <v>1</v>
      </c>
      <c r="Q41" s="12">
        <v>1</v>
      </c>
      <c r="R41" s="12" t="s">
        <v>205</v>
      </c>
      <c r="S41" s="12"/>
      <c r="T41" s="12" t="s">
        <v>206</v>
      </c>
      <c r="U41" s="12" t="s">
        <v>89</v>
      </c>
      <c r="V41" s="12" t="s">
        <v>89</v>
      </c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 t="s">
        <v>77</v>
      </c>
      <c r="AK41" s="12" t="s">
        <v>77</v>
      </c>
      <c r="AL41" s="12" t="s">
        <v>77</v>
      </c>
      <c r="AM41" s="14">
        <v>283</v>
      </c>
      <c r="AN41" s="14">
        <v>315</v>
      </c>
      <c r="AO41" s="14">
        <v>5</v>
      </c>
      <c r="AP41" s="14">
        <v>18</v>
      </c>
      <c r="AQ41" s="14">
        <v>301</v>
      </c>
      <c r="AR41" s="14">
        <v>2</v>
      </c>
      <c r="AS41" s="14">
        <v>2</v>
      </c>
      <c r="AT41" s="14">
        <v>0</v>
      </c>
      <c r="AU41" s="14">
        <v>15</v>
      </c>
      <c r="AV41" s="14">
        <v>15</v>
      </c>
      <c r="AW41" s="14">
        <v>14</v>
      </c>
      <c r="AX41" s="14">
        <v>1</v>
      </c>
      <c r="AY41" s="14">
        <v>1</v>
      </c>
      <c r="AZ41" s="14">
        <v>9</v>
      </c>
      <c r="BA41" s="14">
        <v>9</v>
      </c>
      <c r="BB41" s="14">
        <v>1</v>
      </c>
      <c r="BC41" s="7">
        <v>8</v>
      </c>
    </row>
    <row r="42" spans="1:55">
      <c r="A42" s="12" t="s">
        <v>184</v>
      </c>
      <c r="E42" s="12" t="s">
        <v>159</v>
      </c>
      <c r="F42" s="12" t="s">
        <v>60</v>
      </c>
      <c r="G42" s="7" t="s">
        <v>61</v>
      </c>
      <c r="H42" s="12" t="s">
        <v>207</v>
      </c>
      <c r="I42" s="12" t="s">
        <v>208</v>
      </c>
      <c r="J42" s="17"/>
      <c r="K42" s="17">
        <v>271</v>
      </c>
      <c r="L42" s="17">
        <v>158</v>
      </c>
      <c r="M42" s="17">
        <v>113</v>
      </c>
      <c r="N42" s="17">
        <v>6</v>
      </c>
      <c r="O42" s="17">
        <v>8</v>
      </c>
      <c r="P42" s="17">
        <v>1</v>
      </c>
      <c r="Q42" s="12">
        <v>1</v>
      </c>
      <c r="R42" s="12" t="s">
        <v>205</v>
      </c>
      <c r="S42" s="12"/>
      <c r="T42" s="12" t="s">
        <v>206</v>
      </c>
      <c r="U42" s="15">
        <v>45757</v>
      </c>
      <c r="V42" s="15">
        <v>45719</v>
      </c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 t="s">
        <v>209</v>
      </c>
      <c r="AI42" s="12"/>
      <c r="AJ42" s="12" t="s">
        <v>77</v>
      </c>
      <c r="AK42" s="12" t="s">
        <v>77</v>
      </c>
      <c r="AL42" s="12" t="s">
        <v>77</v>
      </c>
      <c r="AM42" s="14">
        <v>264</v>
      </c>
      <c r="AN42" s="14">
        <v>294</v>
      </c>
      <c r="AO42" s="14">
        <v>5</v>
      </c>
      <c r="AP42" s="14">
        <v>17</v>
      </c>
      <c r="AQ42" s="14">
        <v>281</v>
      </c>
      <c r="AR42" s="14">
        <v>2</v>
      </c>
      <c r="AS42" s="14">
        <v>2</v>
      </c>
      <c r="AT42" s="14">
        <v>0</v>
      </c>
      <c r="AU42" s="14">
        <v>15</v>
      </c>
      <c r="AV42" s="14">
        <v>15</v>
      </c>
      <c r="AW42" s="14">
        <v>14</v>
      </c>
      <c r="AX42" s="14">
        <v>1</v>
      </c>
      <c r="AY42" s="14">
        <v>1</v>
      </c>
      <c r="AZ42" s="14">
        <v>6</v>
      </c>
      <c r="BA42" s="14">
        <v>6</v>
      </c>
      <c r="BB42" s="14">
        <v>0</v>
      </c>
      <c r="BC42" s="7">
        <v>8</v>
      </c>
    </row>
    <row r="43" spans="1:55">
      <c r="A43" s="12" t="s">
        <v>184</v>
      </c>
      <c r="E43" s="12" t="s">
        <v>123</v>
      </c>
      <c r="F43" s="12" t="s">
        <v>60</v>
      </c>
      <c r="G43" s="7" t="s">
        <v>61</v>
      </c>
      <c r="H43" s="12" t="s">
        <v>210</v>
      </c>
      <c r="I43" s="12" t="s">
        <v>211</v>
      </c>
      <c r="J43" s="17"/>
      <c r="K43" s="17">
        <v>251</v>
      </c>
      <c r="L43" s="17">
        <v>152</v>
      </c>
      <c r="M43" s="17">
        <v>99</v>
      </c>
      <c r="N43" s="17">
        <v>7</v>
      </c>
      <c r="O43" s="17">
        <v>18</v>
      </c>
      <c r="P43" s="17">
        <v>2</v>
      </c>
      <c r="Q43" s="12">
        <v>1</v>
      </c>
      <c r="R43" s="12" t="s">
        <v>205</v>
      </c>
      <c r="S43" s="12"/>
      <c r="T43" s="12" t="s">
        <v>206</v>
      </c>
      <c r="U43" s="12" t="s">
        <v>89</v>
      </c>
      <c r="V43" s="15">
        <v>45712</v>
      </c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 t="s">
        <v>212</v>
      </c>
      <c r="AI43" s="12"/>
      <c r="AJ43" s="12" t="s">
        <v>77</v>
      </c>
      <c r="AK43" s="12" t="s">
        <v>77</v>
      </c>
      <c r="AL43" s="12" t="s">
        <v>77</v>
      </c>
      <c r="AM43" s="14">
        <v>237</v>
      </c>
      <c r="AN43" s="14">
        <v>275</v>
      </c>
      <c r="AO43" s="14">
        <v>5</v>
      </c>
      <c r="AP43" s="14">
        <v>21</v>
      </c>
      <c r="AQ43" s="14">
        <v>279</v>
      </c>
      <c r="AR43" s="14">
        <v>2</v>
      </c>
      <c r="AS43" s="14">
        <v>2</v>
      </c>
      <c r="AT43" s="14">
        <v>0</v>
      </c>
      <c r="AU43" s="14">
        <v>15</v>
      </c>
      <c r="AV43" s="14">
        <v>15</v>
      </c>
      <c r="AW43" s="14">
        <v>0</v>
      </c>
      <c r="AX43" s="14">
        <v>0</v>
      </c>
      <c r="AY43" s="14">
        <v>0</v>
      </c>
      <c r="AZ43" s="14">
        <v>7</v>
      </c>
      <c r="BA43" s="14">
        <v>6</v>
      </c>
      <c r="BB43" s="14">
        <v>1</v>
      </c>
      <c r="BC43" s="7">
        <v>8</v>
      </c>
    </row>
    <row r="44" spans="1:55">
      <c r="A44" s="12" t="s">
        <v>184</v>
      </c>
      <c r="E44" s="12" t="s">
        <v>123</v>
      </c>
      <c r="F44" s="12" t="s">
        <v>60</v>
      </c>
      <c r="G44" s="7" t="s">
        <v>61</v>
      </c>
      <c r="H44" s="12" t="s">
        <v>213</v>
      </c>
      <c r="I44" s="12" t="s">
        <v>214</v>
      </c>
      <c r="J44" s="17"/>
      <c r="K44" s="17">
        <v>30</v>
      </c>
      <c r="L44" s="17">
        <v>0</v>
      </c>
      <c r="M44" s="17">
        <v>30</v>
      </c>
      <c r="N44" s="17">
        <v>1</v>
      </c>
      <c r="O44" s="17">
        <v>1</v>
      </c>
      <c r="P44" s="17">
        <v>0</v>
      </c>
      <c r="Q44" s="12">
        <v>1</v>
      </c>
      <c r="R44" s="12" t="s">
        <v>205</v>
      </c>
      <c r="S44" s="12"/>
      <c r="T44" s="12" t="s">
        <v>206</v>
      </c>
      <c r="U44" s="12" t="s">
        <v>89</v>
      </c>
      <c r="V44" s="15">
        <v>45712</v>
      </c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 t="s">
        <v>77</v>
      </c>
      <c r="AK44" s="12" t="s">
        <v>77</v>
      </c>
      <c r="AL44" s="12" t="s">
        <v>77</v>
      </c>
      <c r="AM44" s="14">
        <v>30</v>
      </c>
      <c r="AN44" s="14">
        <v>32</v>
      </c>
      <c r="AO44" s="14">
        <v>0</v>
      </c>
      <c r="AP44" s="14">
        <v>1</v>
      </c>
      <c r="AQ44" s="14">
        <v>31</v>
      </c>
      <c r="AR44" s="14">
        <v>0</v>
      </c>
      <c r="AS44" s="14">
        <v>1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1</v>
      </c>
      <c r="BA44" s="14">
        <v>1</v>
      </c>
      <c r="BB44" s="14">
        <v>0</v>
      </c>
      <c r="BC44" s="7">
        <v>1</v>
      </c>
    </row>
    <row r="45" spans="1:55">
      <c r="A45" s="12" t="s">
        <v>80</v>
      </c>
      <c r="E45" s="12" t="s">
        <v>215</v>
      </c>
      <c r="F45" s="12" t="s">
        <v>60</v>
      </c>
      <c r="G45" s="7" t="s">
        <v>61</v>
      </c>
      <c r="H45" s="12" t="s">
        <v>216</v>
      </c>
      <c r="I45" s="12" t="s">
        <v>217</v>
      </c>
      <c r="J45" s="17"/>
      <c r="K45" s="17" t="s">
        <v>218</v>
      </c>
      <c r="L45" s="17">
        <v>0</v>
      </c>
      <c r="M45" s="17">
        <v>104</v>
      </c>
      <c r="N45" s="17">
        <v>3</v>
      </c>
      <c r="O45" s="17">
        <v>3</v>
      </c>
      <c r="P45" s="17">
        <v>2</v>
      </c>
      <c r="Q45" s="12">
        <v>1</v>
      </c>
      <c r="R45" s="12" t="s">
        <v>205</v>
      </c>
      <c r="S45" s="12"/>
      <c r="T45" s="12" t="s">
        <v>206</v>
      </c>
      <c r="U45" s="12" t="s">
        <v>89</v>
      </c>
      <c r="V45" s="15">
        <v>45720</v>
      </c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5">
        <v>45757</v>
      </c>
      <c r="AI45" s="12"/>
      <c r="AJ45" s="12" t="s">
        <v>77</v>
      </c>
      <c r="AK45" s="12" t="s">
        <v>77</v>
      </c>
      <c r="AL45" s="12" t="s">
        <v>77</v>
      </c>
      <c r="AM45" s="14">
        <v>314</v>
      </c>
      <c r="AN45" s="14">
        <v>352</v>
      </c>
      <c r="AO45" s="14">
        <v>5</v>
      </c>
      <c r="AP45" s="14">
        <v>21</v>
      </c>
      <c r="AQ45" s="14">
        <v>356</v>
      </c>
      <c r="AR45" s="14">
        <v>2</v>
      </c>
      <c r="AS45" s="14">
        <v>2</v>
      </c>
      <c r="AT45" s="14">
        <v>0</v>
      </c>
      <c r="AU45" s="14">
        <v>15</v>
      </c>
      <c r="AV45" s="14">
        <v>15</v>
      </c>
      <c r="AW45" s="14">
        <v>14</v>
      </c>
      <c r="AX45" s="14">
        <v>1</v>
      </c>
      <c r="AY45" s="14">
        <v>1</v>
      </c>
      <c r="AZ45" s="14">
        <v>3</v>
      </c>
      <c r="BA45" s="14">
        <v>14</v>
      </c>
      <c r="BB45" s="14">
        <v>0</v>
      </c>
      <c r="BC45" s="7"/>
    </row>
    <row r="46" spans="1:55">
      <c r="A46" s="12" t="s">
        <v>219</v>
      </c>
      <c r="E46" s="12" t="s">
        <v>220</v>
      </c>
      <c r="F46" s="12" t="s">
        <v>60</v>
      </c>
      <c r="G46" s="7" t="s">
        <v>61</v>
      </c>
      <c r="H46" s="12" t="s">
        <v>221</v>
      </c>
      <c r="I46" s="12" t="s">
        <v>222</v>
      </c>
      <c r="J46" s="17"/>
      <c r="K46" s="17">
        <v>258</v>
      </c>
      <c r="L46" s="17">
        <v>144</v>
      </c>
      <c r="M46" s="17">
        <v>114</v>
      </c>
      <c r="N46" s="17">
        <v>5</v>
      </c>
      <c r="O46" s="17">
        <v>20</v>
      </c>
      <c r="P46" s="17">
        <v>1</v>
      </c>
      <c r="Q46" s="12">
        <v>1</v>
      </c>
      <c r="R46" s="12" t="s">
        <v>205</v>
      </c>
      <c r="S46" s="12"/>
      <c r="T46" s="12" t="s">
        <v>206</v>
      </c>
      <c r="U46" s="15">
        <v>45755</v>
      </c>
      <c r="V46" s="12" t="s">
        <v>223</v>
      </c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 t="s">
        <v>224</v>
      </c>
      <c r="AI46" s="12"/>
      <c r="AJ46" s="12" t="s">
        <v>77</v>
      </c>
      <c r="AK46" s="12" t="s">
        <v>77</v>
      </c>
      <c r="AL46" s="12" t="s">
        <v>77</v>
      </c>
      <c r="AM46" s="14">
        <v>258</v>
      </c>
      <c r="AN46" s="14">
        <v>280</v>
      </c>
      <c r="AO46" s="14">
        <v>5</v>
      </c>
      <c r="AP46" s="14">
        <v>13</v>
      </c>
      <c r="AQ46" s="14">
        <v>271</v>
      </c>
      <c r="AR46" s="14">
        <v>2</v>
      </c>
      <c r="AS46" s="14">
        <v>2</v>
      </c>
      <c r="AT46" s="14">
        <v>0</v>
      </c>
      <c r="AU46" s="14">
        <v>15</v>
      </c>
      <c r="AV46" s="14">
        <v>15</v>
      </c>
      <c r="AW46" s="14">
        <v>0</v>
      </c>
      <c r="AX46" s="14">
        <v>0</v>
      </c>
      <c r="AY46" s="14">
        <v>0</v>
      </c>
      <c r="AZ46" s="14">
        <v>6</v>
      </c>
      <c r="BA46" s="14">
        <v>5</v>
      </c>
      <c r="BB46" s="14">
        <v>0</v>
      </c>
      <c r="BC46" s="7"/>
    </row>
    <row r="47" spans="1:55">
      <c r="A47" s="12" t="s">
        <v>225</v>
      </c>
      <c r="B47" s="16"/>
      <c r="C47" s="12"/>
      <c r="D47" s="12"/>
      <c r="E47" s="12" t="s">
        <v>225</v>
      </c>
      <c r="F47" s="12" t="s">
        <v>60</v>
      </c>
      <c r="G47" s="12"/>
      <c r="H47" s="12"/>
      <c r="I47" s="12" t="s">
        <v>226</v>
      </c>
      <c r="J47" s="17"/>
      <c r="K47" s="17"/>
      <c r="L47" s="17"/>
      <c r="M47" s="17"/>
      <c r="N47" s="17"/>
      <c r="O47" s="17"/>
      <c r="P47" s="17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 t="s">
        <v>77</v>
      </c>
      <c r="AK47" s="12" t="s">
        <v>77</v>
      </c>
      <c r="AL47" s="12" t="s">
        <v>77</v>
      </c>
      <c r="AM47" s="14">
        <v>0</v>
      </c>
      <c r="AN47" s="14">
        <v>394</v>
      </c>
      <c r="AO47" s="14">
        <v>0</v>
      </c>
      <c r="AP47" s="14">
        <v>7</v>
      </c>
      <c r="AQ47" s="14">
        <v>8</v>
      </c>
      <c r="AR47" s="14">
        <v>0</v>
      </c>
      <c r="AS47" s="14">
        <v>0</v>
      </c>
      <c r="AT47" s="14">
        <v>0</v>
      </c>
      <c r="AU47" s="14"/>
      <c r="AV47" s="14"/>
      <c r="AW47" s="14"/>
      <c r="AX47" s="14"/>
      <c r="AY47" s="14"/>
      <c r="AZ47" s="14">
        <v>0</v>
      </c>
      <c r="BA47" s="14">
        <v>0</v>
      </c>
      <c r="BB47" s="14">
        <v>0</v>
      </c>
      <c r="BC47" s="7"/>
    </row>
    <row r="48" spans="1:55">
      <c r="AO48" s="11"/>
    </row>
    <row r="49" spans="8:55">
      <c r="H49" s="50" t="s">
        <v>227</v>
      </c>
      <c r="I49" s="20" t="s">
        <v>228</v>
      </c>
      <c r="AM49" s="21">
        <f t="shared" ref="AM49:AT49" si="0">SUM(AM41:AM47)</f>
        <v>1386</v>
      </c>
      <c r="AN49" s="21">
        <f t="shared" si="0"/>
        <v>1942</v>
      </c>
      <c r="AO49" s="21">
        <f t="shared" si="0"/>
        <v>25</v>
      </c>
      <c r="AP49" s="21">
        <f t="shared" si="0"/>
        <v>98</v>
      </c>
      <c r="AQ49" s="21">
        <f t="shared" si="0"/>
        <v>1527</v>
      </c>
      <c r="AR49" s="21">
        <f t="shared" si="0"/>
        <v>10</v>
      </c>
      <c r="AS49" s="21">
        <f t="shared" si="0"/>
        <v>11</v>
      </c>
      <c r="AT49" s="21">
        <f t="shared" si="0"/>
        <v>0</v>
      </c>
      <c r="AU49" s="21"/>
      <c r="AV49" s="21">
        <f t="shared" ref="AV49:BB49" si="1">SUM(AV41:AV47)</f>
        <v>75</v>
      </c>
      <c r="AW49" s="21">
        <f t="shared" si="1"/>
        <v>42</v>
      </c>
      <c r="AX49" s="21">
        <f t="shared" si="1"/>
        <v>3</v>
      </c>
      <c r="AY49" s="21">
        <f t="shared" si="1"/>
        <v>3</v>
      </c>
      <c r="AZ49" s="21">
        <f t="shared" si="1"/>
        <v>32</v>
      </c>
      <c r="BA49" s="21">
        <f t="shared" si="1"/>
        <v>41</v>
      </c>
      <c r="BB49" s="21">
        <f t="shared" si="1"/>
        <v>2</v>
      </c>
      <c r="BC49" s="21">
        <v>32</v>
      </c>
    </row>
    <row r="50" spans="8:55">
      <c r="H50" s="50"/>
      <c r="I50" t="s">
        <v>229</v>
      </c>
      <c r="AM50" s="14">
        <v>100</v>
      </c>
      <c r="AN50" s="14">
        <v>399</v>
      </c>
      <c r="AO50" s="14">
        <v>0</v>
      </c>
      <c r="AP50" s="14">
        <v>4</v>
      </c>
      <c r="AQ50" s="14">
        <v>3</v>
      </c>
      <c r="AR50" s="14">
        <v>14</v>
      </c>
      <c r="AS50" s="14">
        <v>14</v>
      </c>
      <c r="AT50" s="14">
        <v>0</v>
      </c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0</v>
      </c>
      <c r="BB50" s="14">
        <v>0</v>
      </c>
      <c r="BC50" s="14">
        <v>0</v>
      </c>
    </row>
    <row r="51" spans="8:55">
      <c r="H51" s="50"/>
      <c r="I51" s="18" t="s">
        <v>230</v>
      </c>
      <c r="AM51" s="19">
        <f>SUM(AM49-AM50)</f>
        <v>1286</v>
      </c>
      <c r="AN51" s="19">
        <f>SUM(AN49-AN50)</f>
        <v>1543</v>
      </c>
      <c r="AO51" s="19">
        <f>SUM(AO49-AO50)</f>
        <v>25</v>
      </c>
      <c r="AP51" s="19">
        <f>SUM(AP49-AP50)</f>
        <v>94</v>
      </c>
      <c r="AQ51" s="19">
        <f t="shared" ref="AQ51:BC51" si="2">SUM(AQ49-AQ50)</f>
        <v>1524</v>
      </c>
      <c r="AR51" s="19">
        <f t="shared" ref="AR51" si="3">SUM(AR49-AR50)</f>
        <v>-4</v>
      </c>
      <c r="AS51" s="19">
        <f t="shared" si="2"/>
        <v>-3</v>
      </c>
      <c r="AT51" s="19">
        <v>7</v>
      </c>
      <c r="AU51" s="19"/>
      <c r="AV51" s="19">
        <f t="shared" si="2"/>
        <v>75</v>
      </c>
      <c r="AW51" s="19">
        <v>0</v>
      </c>
      <c r="AX51" s="19">
        <v>0</v>
      </c>
      <c r="AY51" s="19">
        <v>0</v>
      </c>
      <c r="AZ51" s="19">
        <f t="shared" si="2"/>
        <v>32</v>
      </c>
      <c r="BA51" s="19">
        <f t="shared" si="2"/>
        <v>41</v>
      </c>
      <c r="BB51" s="19">
        <f t="shared" ref="BB51" si="4">SUM(BB49-BB50)</f>
        <v>2</v>
      </c>
      <c r="BC51" s="19">
        <f t="shared" si="2"/>
        <v>32</v>
      </c>
    </row>
  </sheetData>
  <sheetProtection formatCells="0" formatColumns="0" formatRows="0" insertColumns="0" insertRows="0" insertHyperlinks="0" deleteColumns="0" deleteRows="0" sort="0" autoFilter="0"/>
  <autoFilter ref="A2:BC39" xr:uid="{66249CD7-F0C3-4D66-831B-03B6D5E8D2DA}"/>
  <mergeCells count="2">
    <mergeCell ref="AG1:AH1"/>
    <mergeCell ref="H49:H51"/>
  </mergeCells>
  <printOptions headings="1"/>
  <pageMargins left="0.25" right="0.25" top="0.75" bottom="0.75" header="0.3" footer="0.3"/>
  <pageSetup paperSize="3" scale="85" fitToHeight="0" orientation="landscape" r:id="rId1"/>
  <headerFooter>
    <oddHeader>&amp;C&amp;A</oddHeader>
    <oddFooter>&amp;C&amp;P of &amp;N&amp;R&amp;D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D40C-2D3A-4C58-9141-1B04E6A4DBE1}">
  <sheetPr>
    <pageSetUpPr fitToPage="1"/>
  </sheetPr>
  <dimension ref="A1:BC62"/>
  <sheetViews>
    <sheetView zoomScaleNormal="100" workbookViewId="0">
      <pane ySplit="2" topLeftCell="A3" activePane="bottomLeft" state="frozen"/>
      <selection pane="bottomLeft" activeCell="BC60" sqref="BC60"/>
    </sheetView>
  </sheetViews>
  <sheetFormatPr defaultRowHeight="14.45"/>
  <cols>
    <col min="1" max="1" width="19.42578125" customWidth="1"/>
    <col min="2" max="2" width="30.140625" style="3" hidden="1" customWidth="1"/>
    <col min="3" max="3" width="30.140625" hidden="1" customWidth="1"/>
    <col min="4" max="4" width="40.7109375" hidden="1" customWidth="1"/>
    <col min="5" max="7" width="14.42578125" customWidth="1"/>
    <col min="8" max="8" width="43.7109375" customWidth="1"/>
    <col min="9" max="9" width="46.140625" customWidth="1"/>
    <col min="10" max="10" width="20.85546875" style="4" customWidth="1"/>
    <col min="11" max="16" width="20.85546875" style="4" hidden="1" customWidth="1"/>
    <col min="17" max="17" width="15.28515625" hidden="1" customWidth="1"/>
    <col min="18" max="18" width="17.5703125" hidden="1" customWidth="1"/>
    <col min="19" max="19" width="14.140625" hidden="1" customWidth="1"/>
    <col min="20" max="20" width="21.42578125" hidden="1" customWidth="1"/>
    <col min="21" max="28" width="14.140625" hidden="1" customWidth="1"/>
    <col min="29" max="29" width="16.7109375" hidden="1" customWidth="1"/>
    <col min="30" max="34" width="14.140625" hidden="1" customWidth="1"/>
    <col min="35" max="35" width="68.85546875" hidden="1" customWidth="1"/>
    <col min="36" max="38" width="16" hidden="1" customWidth="1"/>
    <col min="39" max="39" width="9" style="11" customWidth="1"/>
    <col min="40" max="40" width="8.85546875" style="11" customWidth="1"/>
    <col min="41" max="41" width="8.85546875" customWidth="1"/>
    <col min="42" max="42" width="8.85546875" style="11" customWidth="1"/>
    <col min="43" max="43" width="11.5703125" style="11" customWidth="1"/>
    <col min="44" max="47" width="8.85546875" style="11" customWidth="1"/>
    <col min="48" max="48" width="10.85546875" style="11" customWidth="1"/>
    <col min="49" max="49" width="11.28515625" style="11" customWidth="1"/>
    <col min="50" max="51" width="8.85546875" style="11" customWidth="1"/>
    <col min="52" max="52" width="9.85546875" style="11" customWidth="1"/>
    <col min="53" max="54" width="11.28515625" style="11" customWidth="1"/>
    <col min="55" max="55" width="13" style="11" customWidth="1"/>
  </cols>
  <sheetData>
    <row r="1" spans="1:55" ht="54" customHeight="1">
      <c r="AG1" s="49"/>
      <c r="AH1" s="49"/>
    </row>
    <row r="2" spans="1:55" ht="55.1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6" t="s">
        <v>18</v>
      </c>
      <c r="T2" s="6" t="s">
        <v>19</v>
      </c>
      <c r="U2" s="6" t="s">
        <v>20</v>
      </c>
      <c r="V2" s="6" t="s">
        <v>21</v>
      </c>
      <c r="W2" s="6" t="s">
        <v>22</v>
      </c>
      <c r="X2" s="6" t="s">
        <v>23</v>
      </c>
      <c r="Y2" s="6" t="s">
        <v>24</v>
      </c>
      <c r="Z2" s="6" t="s">
        <v>25</v>
      </c>
      <c r="AA2" s="6" t="s">
        <v>26</v>
      </c>
      <c r="AB2" s="6" t="s">
        <v>27</v>
      </c>
      <c r="AC2" s="6" t="s">
        <v>28</v>
      </c>
      <c r="AD2" s="6" t="s">
        <v>29</v>
      </c>
      <c r="AE2" s="6" t="s">
        <v>30</v>
      </c>
      <c r="AF2" s="6" t="s">
        <v>31</v>
      </c>
      <c r="AG2" s="6" t="s">
        <v>32</v>
      </c>
      <c r="AH2" s="6" t="s">
        <v>33</v>
      </c>
      <c r="AI2" s="1" t="s">
        <v>34</v>
      </c>
      <c r="AJ2" s="1" t="s">
        <v>35</v>
      </c>
      <c r="AK2" s="1" t="s">
        <v>36</v>
      </c>
      <c r="AL2" s="1" t="s">
        <v>37</v>
      </c>
      <c r="AM2" s="1" t="s">
        <v>38</v>
      </c>
      <c r="AN2" s="1" t="s">
        <v>39</v>
      </c>
      <c r="AO2" s="1" t="s">
        <v>40</v>
      </c>
      <c r="AP2" s="1" t="s">
        <v>41</v>
      </c>
      <c r="AQ2" s="1" t="s">
        <v>42</v>
      </c>
      <c r="AR2" s="1" t="s">
        <v>43</v>
      </c>
      <c r="AS2" s="1" t="s">
        <v>44</v>
      </c>
      <c r="AT2" s="1" t="s">
        <v>45</v>
      </c>
      <c r="AU2" s="1" t="s">
        <v>46</v>
      </c>
      <c r="AV2" s="1" t="s">
        <v>47</v>
      </c>
      <c r="AW2" s="1" t="s">
        <v>48</v>
      </c>
      <c r="AX2" s="1" t="s">
        <v>49</v>
      </c>
      <c r="AY2" s="1" t="s">
        <v>50</v>
      </c>
      <c r="AZ2" s="1" t="s">
        <v>51</v>
      </c>
      <c r="BA2" s="1" t="s">
        <v>52</v>
      </c>
      <c r="BB2" s="1" t="s">
        <v>53</v>
      </c>
      <c r="BC2" s="1" t="s">
        <v>54</v>
      </c>
    </row>
    <row r="3" spans="1:55" ht="15.4" customHeight="1">
      <c r="A3" s="7" t="s">
        <v>55</v>
      </c>
      <c r="B3" s="8" t="s">
        <v>56</v>
      </c>
      <c r="C3" s="8" t="s">
        <v>57</v>
      </c>
      <c r="D3" s="7" t="s">
        <v>58</v>
      </c>
      <c r="E3" s="7" t="s">
        <v>59</v>
      </c>
      <c r="F3" s="7" t="s">
        <v>60</v>
      </c>
      <c r="G3" s="9" t="s">
        <v>61</v>
      </c>
      <c r="H3" s="7" t="s">
        <v>62</v>
      </c>
      <c r="I3" s="7" t="s">
        <v>63</v>
      </c>
      <c r="J3" s="8">
        <v>15</v>
      </c>
      <c r="K3" s="8"/>
      <c r="L3" s="8"/>
      <c r="M3" s="8"/>
      <c r="N3" s="8"/>
      <c r="O3" s="8"/>
      <c r="P3" s="8"/>
      <c r="Q3" s="7">
        <v>1</v>
      </c>
      <c r="R3" s="7" t="s">
        <v>64</v>
      </c>
      <c r="S3" s="9" t="s">
        <v>65</v>
      </c>
      <c r="T3" s="9" t="s">
        <v>66</v>
      </c>
      <c r="U3" s="9">
        <v>45623</v>
      </c>
      <c r="V3" s="9">
        <v>45546</v>
      </c>
      <c r="W3" s="9">
        <v>45558</v>
      </c>
      <c r="X3" s="9">
        <v>45559</v>
      </c>
      <c r="Y3" s="9">
        <v>45565</v>
      </c>
      <c r="Z3" s="9">
        <v>45593</v>
      </c>
      <c r="AA3" s="9">
        <v>45596</v>
      </c>
      <c r="AB3" s="7">
        <v>16</v>
      </c>
      <c r="AC3" s="7">
        <v>1</v>
      </c>
      <c r="AD3" s="9">
        <v>41944</v>
      </c>
      <c r="AE3" s="9">
        <v>45587</v>
      </c>
      <c r="AF3" s="9">
        <v>45590</v>
      </c>
      <c r="AG3" s="7" t="s">
        <v>67</v>
      </c>
      <c r="AH3" s="7" t="s">
        <v>68</v>
      </c>
      <c r="AI3" s="12" t="s">
        <v>69</v>
      </c>
      <c r="AJ3" s="12"/>
      <c r="AK3" s="12"/>
      <c r="AL3" s="12"/>
      <c r="AM3" s="12">
        <v>0</v>
      </c>
      <c r="AN3" s="12">
        <v>10</v>
      </c>
      <c r="AO3" s="12">
        <v>0</v>
      </c>
      <c r="AP3" s="12">
        <v>0</v>
      </c>
      <c r="AQ3" s="12">
        <v>1</v>
      </c>
      <c r="AR3" s="12">
        <v>0</v>
      </c>
      <c r="AS3" s="12">
        <v>0</v>
      </c>
      <c r="AT3" s="12">
        <v>0</v>
      </c>
      <c r="AU3" s="12"/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3">
        <v>0</v>
      </c>
    </row>
    <row r="4" spans="1:55" ht="15.4" customHeight="1">
      <c r="A4" s="7" t="s">
        <v>70</v>
      </c>
      <c r="B4" s="8" t="s">
        <v>71</v>
      </c>
      <c r="C4" s="7" t="s">
        <v>72</v>
      </c>
      <c r="D4" s="7" t="s">
        <v>73</v>
      </c>
      <c r="E4" s="7" t="s">
        <v>74</v>
      </c>
      <c r="F4" s="7" t="s">
        <v>60</v>
      </c>
      <c r="G4" s="9" t="s">
        <v>61</v>
      </c>
      <c r="H4" s="8" t="s">
        <v>75</v>
      </c>
      <c r="I4" s="7" t="s">
        <v>76</v>
      </c>
      <c r="J4" s="8">
        <v>19</v>
      </c>
      <c r="K4" s="8"/>
      <c r="L4" s="8"/>
      <c r="M4" s="8"/>
      <c r="N4" s="8"/>
      <c r="O4" s="8"/>
      <c r="P4" s="8"/>
      <c r="Q4" s="7">
        <v>1</v>
      </c>
      <c r="R4" s="7" t="s">
        <v>64</v>
      </c>
      <c r="S4" s="9">
        <v>45498</v>
      </c>
      <c r="T4" s="9" t="s">
        <v>77</v>
      </c>
      <c r="U4" s="7" t="s">
        <v>77</v>
      </c>
      <c r="V4" s="9">
        <v>45546</v>
      </c>
      <c r="W4" s="9">
        <v>45559</v>
      </c>
      <c r="X4" s="9">
        <v>45559</v>
      </c>
      <c r="Y4" s="9">
        <v>45567</v>
      </c>
      <c r="Z4" s="9">
        <v>45577</v>
      </c>
      <c r="AA4" s="9">
        <v>45583</v>
      </c>
      <c r="AB4" s="7">
        <v>19</v>
      </c>
      <c r="AC4" s="7">
        <v>1</v>
      </c>
      <c r="AD4" s="9">
        <v>41933</v>
      </c>
      <c r="AE4" s="9">
        <v>45587</v>
      </c>
      <c r="AF4" s="9">
        <v>45583</v>
      </c>
      <c r="AG4" s="7" t="s">
        <v>78</v>
      </c>
      <c r="AH4" s="9">
        <v>45582</v>
      </c>
      <c r="AI4" s="12" t="s">
        <v>79</v>
      </c>
      <c r="AJ4" s="12"/>
      <c r="AK4" s="12"/>
      <c r="AL4" s="12"/>
      <c r="AM4" s="12">
        <v>0</v>
      </c>
      <c r="AN4" s="12">
        <v>2</v>
      </c>
      <c r="AO4" s="12">
        <v>0</v>
      </c>
      <c r="AP4" s="12">
        <v>1</v>
      </c>
      <c r="AQ4" s="12">
        <v>1</v>
      </c>
      <c r="AR4" s="12">
        <v>0</v>
      </c>
      <c r="AS4" s="12">
        <v>0</v>
      </c>
      <c r="AT4" s="12">
        <v>0</v>
      </c>
      <c r="AU4" s="12"/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3">
        <v>0</v>
      </c>
    </row>
    <row r="5" spans="1:55" ht="15.4" customHeight="1">
      <c r="A5" s="7" t="s">
        <v>80</v>
      </c>
      <c r="B5" s="8" t="s">
        <v>81</v>
      </c>
      <c r="C5" s="7"/>
      <c r="D5" s="7" t="s">
        <v>82</v>
      </c>
      <c r="E5" s="7" t="s">
        <v>83</v>
      </c>
      <c r="F5" s="7" t="s">
        <v>60</v>
      </c>
      <c r="G5" s="7" t="s">
        <v>61</v>
      </c>
      <c r="H5" s="8" t="s">
        <v>84</v>
      </c>
      <c r="I5" s="7" t="s">
        <v>85</v>
      </c>
      <c r="J5" s="8">
        <v>15</v>
      </c>
      <c r="K5" s="8"/>
      <c r="L5" s="22" t="s">
        <v>86</v>
      </c>
      <c r="M5" s="8"/>
      <c r="N5" s="8"/>
      <c r="O5" s="8"/>
      <c r="P5" s="8"/>
      <c r="Q5" s="7" t="s">
        <v>87</v>
      </c>
      <c r="R5" s="7" t="s">
        <v>64</v>
      </c>
      <c r="S5" s="9">
        <v>45601</v>
      </c>
      <c r="T5" s="7" t="s">
        <v>88</v>
      </c>
      <c r="U5" s="7" t="s">
        <v>77</v>
      </c>
      <c r="V5" s="7" t="s">
        <v>77</v>
      </c>
      <c r="W5" s="7" t="s">
        <v>77</v>
      </c>
      <c r="X5" s="7" t="s">
        <v>77</v>
      </c>
      <c r="Y5" s="7" t="s">
        <v>77</v>
      </c>
      <c r="Z5" s="7" t="s">
        <v>77</v>
      </c>
      <c r="AA5" s="7" t="s">
        <v>77</v>
      </c>
      <c r="AB5" s="7" t="s">
        <v>89</v>
      </c>
      <c r="AC5" s="7">
        <v>1</v>
      </c>
      <c r="AD5" s="9">
        <v>45622</v>
      </c>
      <c r="AE5" s="9">
        <v>45608</v>
      </c>
      <c r="AF5" s="9">
        <v>45623</v>
      </c>
      <c r="AG5" s="7" t="s">
        <v>89</v>
      </c>
      <c r="AH5" s="7" t="s">
        <v>68</v>
      </c>
      <c r="AI5" s="12"/>
      <c r="AJ5" s="12"/>
      <c r="AK5" s="12"/>
      <c r="AL5" s="12"/>
      <c r="AM5" s="14">
        <v>0</v>
      </c>
      <c r="AN5" s="14">
        <v>12</v>
      </c>
      <c r="AO5" s="14">
        <v>0</v>
      </c>
      <c r="AP5" s="14">
        <v>0</v>
      </c>
      <c r="AQ5" s="14">
        <v>0</v>
      </c>
      <c r="AR5" s="14">
        <v>0</v>
      </c>
      <c r="AS5" s="14">
        <v>0</v>
      </c>
      <c r="AT5" s="14">
        <v>0</v>
      </c>
      <c r="AU5" s="14"/>
      <c r="AV5" s="14">
        <v>0</v>
      </c>
      <c r="AW5" s="14">
        <v>0</v>
      </c>
      <c r="AX5" s="14">
        <v>0</v>
      </c>
      <c r="AY5" s="14">
        <v>0</v>
      </c>
      <c r="AZ5" s="14">
        <v>0</v>
      </c>
      <c r="BA5" s="14">
        <v>0</v>
      </c>
      <c r="BB5" s="14">
        <v>0</v>
      </c>
      <c r="BC5" s="14">
        <v>0</v>
      </c>
    </row>
    <row r="6" spans="1:55" ht="15.4" customHeight="1">
      <c r="A6" s="7" t="s">
        <v>90</v>
      </c>
      <c r="B6" s="8" t="s">
        <v>91</v>
      </c>
      <c r="C6" s="8" t="s">
        <v>92</v>
      </c>
      <c r="D6" s="7" t="s">
        <v>93</v>
      </c>
      <c r="E6" s="7" t="s">
        <v>83</v>
      </c>
      <c r="F6" s="7" t="s">
        <v>60</v>
      </c>
      <c r="G6" s="7" t="s">
        <v>61</v>
      </c>
      <c r="H6" s="8" t="s">
        <v>94</v>
      </c>
      <c r="I6" s="7" t="s">
        <v>95</v>
      </c>
      <c r="J6" s="8">
        <v>75</v>
      </c>
      <c r="K6" s="8"/>
      <c r="L6" s="8"/>
      <c r="M6" s="8"/>
      <c r="N6" s="8"/>
      <c r="O6" s="8"/>
      <c r="P6" s="8"/>
      <c r="Q6" s="7" t="s">
        <v>96</v>
      </c>
      <c r="R6" s="7" t="s">
        <v>64</v>
      </c>
      <c r="S6" s="9">
        <v>45498</v>
      </c>
      <c r="T6" s="9" t="s">
        <v>77</v>
      </c>
      <c r="U6" s="7" t="s">
        <v>77</v>
      </c>
      <c r="V6" s="9">
        <v>45546</v>
      </c>
      <c r="W6" s="7" t="s">
        <v>77</v>
      </c>
      <c r="X6" s="7" t="s">
        <v>77</v>
      </c>
      <c r="Y6" s="7" t="s">
        <v>77</v>
      </c>
      <c r="Z6" s="9" t="s">
        <v>77</v>
      </c>
      <c r="AA6" s="9">
        <v>45572</v>
      </c>
      <c r="AB6" s="7">
        <v>75</v>
      </c>
      <c r="AC6" s="7">
        <v>2</v>
      </c>
      <c r="AD6" s="9">
        <v>41933</v>
      </c>
      <c r="AE6" s="9">
        <v>45587</v>
      </c>
      <c r="AF6" s="9">
        <v>45600</v>
      </c>
      <c r="AG6" s="7" t="s">
        <v>78</v>
      </c>
      <c r="AH6" s="23" t="s">
        <v>68</v>
      </c>
      <c r="AI6" s="12"/>
      <c r="AJ6" s="12"/>
      <c r="AK6" s="12"/>
      <c r="AL6" s="12"/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/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</row>
    <row r="7" spans="1:55" ht="15.4" customHeight="1">
      <c r="A7" s="7" t="s">
        <v>97</v>
      </c>
      <c r="B7" s="8" t="s">
        <v>71</v>
      </c>
      <c r="C7" s="7" t="s">
        <v>72</v>
      </c>
      <c r="D7" s="7" t="s">
        <v>98</v>
      </c>
      <c r="E7" s="7" t="s">
        <v>74</v>
      </c>
      <c r="F7" s="7" t="s">
        <v>60</v>
      </c>
      <c r="G7" s="7" t="s">
        <v>61</v>
      </c>
      <c r="H7" s="7" t="s">
        <v>99</v>
      </c>
      <c r="I7" s="7" t="s">
        <v>100</v>
      </c>
      <c r="J7" s="8">
        <v>9</v>
      </c>
      <c r="K7" s="8"/>
      <c r="L7" s="8"/>
      <c r="M7" s="8"/>
      <c r="N7" s="8"/>
      <c r="O7" s="8"/>
      <c r="P7" s="8"/>
      <c r="Q7" s="7">
        <v>1</v>
      </c>
      <c r="R7" s="7" t="s">
        <v>101</v>
      </c>
      <c r="S7" s="9">
        <v>45498</v>
      </c>
      <c r="T7" s="9" t="s">
        <v>77</v>
      </c>
      <c r="U7" s="7" t="s">
        <v>77</v>
      </c>
      <c r="V7" s="9">
        <v>45546</v>
      </c>
      <c r="W7" s="9">
        <v>45559</v>
      </c>
      <c r="X7" s="9">
        <v>45559</v>
      </c>
      <c r="Y7" s="9">
        <v>45567</v>
      </c>
      <c r="Z7" s="9">
        <v>45576</v>
      </c>
      <c r="AA7" s="9">
        <v>45579</v>
      </c>
      <c r="AB7" s="7">
        <v>9</v>
      </c>
      <c r="AC7" s="7">
        <v>1</v>
      </c>
      <c r="AD7" s="9">
        <v>45581</v>
      </c>
      <c r="AE7" s="9">
        <v>45583</v>
      </c>
      <c r="AF7" s="9">
        <v>45583</v>
      </c>
      <c r="AG7" s="7" t="s">
        <v>67</v>
      </c>
      <c r="AH7" s="9">
        <v>45582</v>
      </c>
      <c r="AI7" s="12" t="s">
        <v>102</v>
      </c>
      <c r="AJ7" s="12"/>
      <c r="AK7" s="12"/>
      <c r="AL7" s="12"/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/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3">
        <v>0</v>
      </c>
    </row>
    <row r="8" spans="1:55" ht="15.4" customHeight="1">
      <c r="A8" s="7" t="s">
        <v>97</v>
      </c>
      <c r="B8" s="8" t="s">
        <v>71</v>
      </c>
      <c r="C8" s="7" t="s">
        <v>72</v>
      </c>
      <c r="D8" s="7" t="s">
        <v>98</v>
      </c>
      <c r="E8" s="7" t="s">
        <v>74</v>
      </c>
      <c r="F8" s="7" t="s">
        <v>60</v>
      </c>
      <c r="G8" s="7" t="s">
        <v>61</v>
      </c>
      <c r="H8" s="7" t="s">
        <v>99</v>
      </c>
      <c r="I8" s="7" t="s">
        <v>103</v>
      </c>
      <c r="J8" s="8">
        <v>10</v>
      </c>
      <c r="K8" s="8"/>
      <c r="L8" s="8"/>
      <c r="M8" s="8"/>
      <c r="N8" s="8"/>
      <c r="O8" s="8"/>
      <c r="P8" s="8"/>
      <c r="Q8" s="7">
        <v>1</v>
      </c>
      <c r="R8" s="7" t="s">
        <v>101</v>
      </c>
      <c r="S8" s="9">
        <v>45498</v>
      </c>
      <c r="T8" s="9" t="s">
        <v>104</v>
      </c>
      <c r="U8" s="9">
        <v>45583</v>
      </c>
      <c r="V8" s="9">
        <v>45546</v>
      </c>
      <c r="W8" s="9">
        <v>45559</v>
      </c>
      <c r="X8" s="9">
        <v>45559</v>
      </c>
      <c r="Y8" s="9">
        <v>45567</v>
      </c>
      <c r="Z8" s="9">
        <v>45576</v>
      </c>
      <c r="AA8" s="9">
        <v>45579</v>
      </c>
      <c r="AB8" s="7">
        <v>11</v>
      </c>
      <c r="AC8" s="7">
        <v>1</v>
      </c>
      <c r="AD8" s="9">
        <v>45579</v>
      </c>
      <c r="AE8" s="9">
        <v>45583</v>
      </c>
      <c r="AF8" s="9">
        <v>45583</v>
      </c>
      <c r="AG8" s="7" t="s">
        <v>67</v>
      </c>
      <c r="AH8" s="9">
        <v>45582</v>
      </c>
      <c r="AI8" s="12" t="s">
        <v>102</v>
      </c>
      <c r="AJ8" s="12"/>
      <c r="AK8" s="12"/>
      <c r="AL8" s="12"/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/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3">
        <v>0</v>
      </c>
    </row>
    <row r="9" spans="1:55" ht="15.4" customHeight="1">
      <c r="A9" s="7" t="s">
        <v>97</v>
      </c>
      <c r="B9" s="8" t="s">
        <v>71</v>
      </c>
      <c r="C9" s="7" t="s">
        <v>72</v>
      </c>
      <c r="D9" s="7" t="s">
        <v>98</v>
      </c>
      <c r="E9" s="7" t="s">
        <v>74</v>
      </c>
      <c r="F9" s="7" t="s">
        <v>60</v>
      </c>
      <c r="G9" s="7" t="s">
        <v>61</v>
      </c>
      <c r="H9" s="7" t="s">
        <v>99</v>
      </c>
      <c r="I9" s="7" t="s">
        <v>105</v>
      </c>
      <c r="J9" s="8">
        <v>10</v>
      </c>
      <c r="K9" s="8"/>
      <c r="L9" s="8"/>
      <c r="M9" s="8"/>
      <c r="N9" s="8"/>
      <c r="O9" s="8"/>
      <c r="P9" s="8"/>
      <c r="Q9" s="7">
        <v>1</v>
      </c>
      <c r="R9" s="7" t="s">
        <v>101</v>
      </c>
      <c r="S9" s="9">
        <v>45498</v>
      </c>
      <c r="T9" s="9" t="s">
        <v>104</v>
      </c>
      <c r="U9" s="9">
        <v>45583</v>
      </c>
      <c r="V9" s="9">
        <v>45546</v>
      </c>
      <c r="W9" s="9">
        <v>45559</v>
      </c>
      <c r="X9" s="9">
        <v>45559</v>
      </c>
      <c r="Y9" s="9">
        <v>45567</v>
      </c>
      <c r="Z9" s="9">
        <v>45576</v>
      </c>
      <c r="AA9" s="9">
        <v>45579</v>
      </c>
      <c r="AB9" s="7">
        <v>11</v>
      </c>
      <c r="AC9" s="7">
        <v>1</v>
      </c>
      <c r="AD9" s="9">
        <v>45579</v>
      </c>
      <c r="AE9" s="9">
        <v>45583</v>
      </c>
      <c r="AF9" s="9">
        <v>45583</v>
      </c>
      <c r="AG9" s="7" t="s">
        <v>67</v>
      </c>
      <c r="AH9" s="9">
        <v>45582</v>
      </c>
      <c r="AI9" s="12" t="s">
        <v>102</v>
      </c>
      <c r="AJ9" s="12"/>
      <c r="AK9" s="12"/>
      <c r="AL9" s="12"/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/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</row>
    <row r="10" spans="1:55" ht="15.4" customHeight="1">
      <c r="A10" s="7" t="s">
        <v>97</v>
      </c>
      <c r="B10" s="8" t="s">
        <v>106</v>
      </c>
      <c r="C10" s="8" t="s">
        <v>107</v>
      </c>
      <c r="D10" s="7" t="s">
        <v>108</v>
      </c>
      <c r="E10" s="7" t="s">
        <v>74</v>
      </c>
      <c r="F10" s="7" t="s">
        <v>60</v>
      </c>
      <c r="G10" s="7" t="s">
        <v>61</v>
      </c>
      <c r="H10" s="8" t="s">
        <v>109</v>
      </c>
      <c r="I10" s="8" t="s">
        <v>110</v>
      </c>
      <c r="J10" s="8">
        <v>20</v>
      </c>
      <c r="K10" s="8"/>
      <c r="L10" s="8"/>
      <c r="M10" s="8"/>
      <c r="N10" s="8"/>
      <c r="O10" s="8"/>
      <c r="P10" s="8"/>
      <c r="Q10" s="7" t="s">
        <v>96</v>
      </c>
      <c r="R10" s="7" t="s">
        <v>111</v>
      </c>
      <c r="S10" s="9">
        <v>45498</v>
      </c>
      <c r="T10" s="9" t="s">
        <v>88</v>
      </c>
      <c r="U10" s="7" t="s">
        <v>77</v>
      </c>
      <c r="V10" s="9">
        <v>45546</v>
      </c>
      <c r="W10" s="9">
        <v>45559</v>
      </c>
      <c r="X10" s="9">
        <v>45559</v>
      </c>
      <c r="Y10" s="9">
        <v>45567</v>
      </c>
      <c r="Z10" s="9">
        <v>45586</v>
      </c>
      <c r="AA10" s="9">
        <v>45618</v>
      </c>
      <c r="AB10" s="7">
        <v>21</v>
      </c>
      <c r="AC10" s="7">
        <v>1</v>
      </c>
      <c r="AD10" s="9">
        <v>41965</v>
      </c>
      <c r="AE10" s="9">
        <v>45618</v>
      </c>
      <c r="AF10" s="9">
        <v>45618</v>
      </c>
      <c r="AG10" s="7"/>
      <c r="AH10" s="7"/>
      <c r="AI10" s="12"/>
      <c r="AJ10" s="12" t="s">
        <v>112</v>
      </c>
      <c r="AK10" s="12"/>
      <c r="AL10" s="12" t="s">
        <v>113</v>
      </c>
      <c r="AM10" s="14">
        <v>0</v>
      </c>
      <c r="AN10" s="14">
        <v>0</v>
      </c>
      <c r="AO10" s="14">
        <v>0</v>
      </c>
      <c r="AP10" s="14">
        <v>0</v>
      </c>
      <c r="AQ10" s="14">
        <v>0</v>
      </c>
      <c r="AR10" s="14">
        <v>0</v>
      </c>
      <c r="AS10" s="14">
        <v>0</v>
      </c>
      <c r="AT10" s="14">
        <v>0</v>
      </c>
      <c r="AU10" s="14"/>
      <c r="AV10" s="14">
        <v>0</v>
      </c>
      <c r="AW10" s="14">
        <v>0</v>
      </c>
      <c r="AX10" s="14">
        <v>0</v>
      </c>
      <c r="AY10" s="14">
        <v>0</v>
      </c>
      <c r="AZ10" s="14">
        <v>0</v>
      </c>
      <c r="BA10" s="14">
        <v>0</v>
      </c>
      <c r="BB10" s="14">
        <v>0</v>
      </c>
      <c r="BC10" s="14">
        <v>0</v>
      </c>
    </row>
    <row r="11" spans="1:55" ht="15.4" customHeight="1">
      <c r="A11" s="7" t="s">
        <v>97</v>
      </c>
      <c r="B11" s="8" t="s">
        <v>114</v>
      </c>
      <c r="C11" s="8" t="s">
        <v>115</v>
      </c>
      <c r="D11" s="7" t="s">
        <v>116</v>
      </c>
      <c r="E11" s="7" t="s">
        <v>74</v>
      </c>
      <c r="F11" s="7" t="s">
        <v>60</v>
      </c>
      <c r="G11" s="9" t="s">
        <v>61</v>
      </c>
      <c r="H11" s="8" t="s">
        <v>117</v>
      </c>
      <c r="I11" s="7" t="s">
        <v>118</v>
      </c>
      <c r="J11" s="8">
        <v>16</v>
      </c>
      <c r="K11" s="8"/>
      <c r="L11" s="8"/>
      <c r="M11" s="8"/>
      <c r="N11" s="8"/>
      <c r="O11" s="8"/>
      <c r="P11" s="8"/>
      <c r="Q11" s="7" t="s">
        <v>96</v>
      </c>
      <c r="R11" s="7" t="s">
        <v>64</v>
      </c>
      <c r="S11" s="9">
        <v>45498</v>
      </c>
      <c r="T11" s="9" t="s">
        <v>88</v>
      </c>
      <c r="U11" s="7" t="s">
        <v>77</v>
      </c>
      <c r="V11" s="9">
        <v>45546</v>
      </c>
      <c r="W11" s="9">
        <v>45559</v>
      </c>
      <c r="X11" s="9">
        <v>45559</v>
      </c>
      <c r="Y11" s="9">
        <v>45567</v>
      </c>
      <c r="Z11" s="9">
        <v>45580</v>
      </c>
      <c r="AA11" s="9">
        <v>45583</v>
      </c>
      <c r="AB11" s="7">
        <v>18</v>
      </c>
      <c r="AC11" s="7">
        <v>1</v>
      </c>
      <c r="AD11" s="9">
        <v>41933</v>
      </c>
      <c r="AE11" s="9">
        <v>45587</v>
      </c>
      <c r="AF11" s="9">
        <v>45597</v>
      </c>
      <c r="AG11" s="7" t="s">
        <v>78</v>
      </c>
      <c r="AH11" s="9">
        <v>45594</v>
      </c>
      <c r="AI11" s="12" t="s">
        <v>119</v>
      </c>
      <c r="AJ11" s="12" t="s">
        <v>112</v>
      </c>
      <c r="AK11" s="12"/>
      <c r="AL11" s="12" t="s">
        <v>120</v>
      </c>
      <c r="AM11" s="12">
        <v>0</v>
      </c>
      <c r="AN11" s="12">
        <v>16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/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</row>
    <row r="12" spans="1:55" ht="15.4" customHeight="1">
      <c r="A12" s="7" t="s">
        <v>97</v>
      </c>
      <c r="B12" s="8" t="s">
        <v>121</v>
      </c>
      <c r="C12" s="8" t="s">
        <v>121</v>
      </c>
      <c r="D12" s="7" t="s">
        <v>122</v>
      </c>
      <c r="E12" s="7" t="s">
        <v>123</v>
      </c>
      <c r="F12" s="7" t="s">
        <v>60</v>
      </c>
      <c r="G12" s="7" t="s">
        <v>61</v>
      </c>
      <c r="H12" s="8" t="s">
        <v>124</v>
      </c>
      <c r="I12" s="7" t="s">
        <v>125</v>
      </c>
      <c r="J12" s="8">
        <v>20</v>
      </c>
      <c r="K12" s="8"/>
      <c r="L12" s="8"/>
      <c r="M12" s="8"/>
      <c r="N12" s="8"/>
      <c r="O12" s="8"/>
      <c r="P12" s="8"/>
      <c r="Q12" s="7">
        <v>1</v>
      </c>
      <c r="R12" s="7" t="s">
        <v>64</v>
      </c>
      <c r="S12" s="9">
        <v>45498</v>
      </c>
      <c r="T12" s="9" t="s">
        <v>88</v>
      </c>
      <c r="U12" s="7" t="s">
        <v>77</v>
      </c>
      <c r="V12" s="9">
        <v>45546</v>
      </c>
      <c r="W12" s="9">
        <v>45566</v>
      </c>
      <c r="X12" s="9">
        <v>45566</v>
      </c>
      <c r="Y12" s="9">
        <v>45568</v>
      </c>
      <c r="Z12" s="9">
        <v>45574</v>
      </c>
      <c r="AA12" s="9">
        <v>45575</v>
      </c>
      <c r="AB12" s="7">
        <v>23</v>
      </c>
      <c r="AC12" s="7">
        <v>1</v>
      </c>
      <c r="AD12" s="9">
        <v>41933</v>
      </c>
      <c r="AE12" s="9">
        <v>45587</v>
      </c>
      <c r="AF12" s="9">
        <v>45597</v>
      </c>
      <c r="AG12" s="7" t="s">
        <v>67</v>
      </c>
      <c r="AH12" s="9">
        <v>45589</v>
      </c>
      <c r="AI12" s="15"/>
      <c r="AJ12" s="12"/>
      <c r="AK12" s="12"/>
      <c r="AL12" s="12"/>
      <c r="AM12" s="14">
        <v>0</v>
      </c>
      <c r="AN12" s="14">
        <v>20</v>
      </c>
      <c r="AO12" s="12">
        <v>0</v>
      </c>
      <c r="AP12" s="14">
        <v>0</v>
      </c>
      <c r="AQ12" s="14">
        <v>0</v>
      </c>
      <c r="AR12" s="14">
        <v>0</v>
      </c>
      <c r="AS12" s="14">
        <v>0</v>
      </c>
      <c r="AT12" s="14">
        <v>0</v>
      </c>
      <c r="AU12" s="14"/>
      <c r="AV12" s="14">
        <v>0</v>
      </c>
      <c r="AW12" s="14">
        <v>0</v>
      </c>
      <c r="AX12" s="14">
        <v>0</v>
      </c>
      <c r="AY12" s="14">
        <v>0</v>
      </c>
      <c r="AZ12" s="14">
        <v>0</v>
      </c>
      <c r="BA12" s="14">
        <v>0</v>
      </c>
      <c r="BB12" s="14">
        <v>0</v>
      </c>
      <c r="BC12" s="13">
        <v>0</v>
      </c>
    </row>
    <row r="13" spans="1:55" ht="15.4" customHeight="1">
      <c r="A13" s="7" t="s">
        <v>97</v>
      </c>
      <c r="B13" s="8" t="s">
        <v>121</v>
      </c>
      <c r="C13" s="8" t="s">
        <v>121</v>
      </c>
      <c r="D13" s="7" t="s">
        <v>122</v>
      </c>
      <c r="E13" s="7" t="s">
        <v>123</v>
      </c>
      <c r="F13" s="7" t="s">
        <v>60</v>
      </c>
      <c r="G13" s="7" t="s">
        <v>61</v>
      </c>
      <c r="H13" s="8" t="s">
        <v>124</v>
      </c>
      <c r="I13" s="7" t="s">
        <v>126</v>
      </c>
      <c r="J13" s="8">
        <v>24</v>
      </c>
      <c r="K13" s="8"/>
      <c r="L13" s="8"/>
      <c r="M13" s="8"/>
      <c r="N13" s="8"/>
      <c r="O13" s="8"/>
      <c r="P13" s="8"/>
      <c r="Q13" s="7">
        <v>1</v>
      </c>
      <c r="R13" s="7" t="s">
        <v>64</v>
      </c>
      <c r="S13" s="9">
        <v>45498</v>
      </c>
      <c r="T13" s="9" t="s">
        <v>88</v>
      </c>
      <c r="U13" s="7" t="s">
        <v>77</v>
      </c>
      <c r="V13" s="9">
        <v>45546</v>
      </c>
      <c r="W13" s="9">
        <v>45566</v>
      </c>
      <c r="X13" s="9">
        <v>45566</v>
      </c>
      <c r="Y13" s="9">
        <v>45568</v>
      </c>
      <c r="Z13" s="9">
        <v>45574</v>
      </c>
      <c r="AA13" s="9">
        <v>45575</v>
      </c>
      <c r="AB13" s="7">
        <v>25</v>
      </c>
      <c r="AC13" s="7">
        <v>1</v>
      </c>
      <c r="AD13" s="9">
        <v>41933</v>
      </c>
      <c r="AE13" s="9">
        <v>45587</v>
      </c>
      <c r="AF13" s="9">
        <v>45597</v>
      </c>
      <c r="AG13" s="7" t="s">
        <v>67</v>
      </c>
      <c r="AH13" s="9">
        <v>45589</v>
      </c>
      <c r="AI13" s="15"/>
      <c r="AJ13" s="12"/>
      <c r="AK13" s="12"/>
      <c r="AL13" s="12"/>
      <c r="AM13" s="14">
        <v>0</v>
      </c>
      <c r="AN13" s="14">
        <v>24</v>
      </c>
      <c r="AO13" s="12">
        <v>0</v>
      </c>
      <c r="AP13" s="14">
        <v>0</v>
      </c>
      <c r="AQ13" s="14">
        <v>0</v>
      </c>
      <c r="AR13" s="14">
        <v>0</v>
      </c>
      <c r="AS13" s="14">
        <v>0</v>
      </c>
      <c r="AT13" s="14">
        <v>0</v>
      </c>
      <c r="AU13" s="14"/>
      <c r="AV13" s="14">
        <v>0</v>
      </c>
      <c r="AW13" s="14">
        <v>0</v>
      </c>
      <c r="AX13" s="14">
        <v>0</v>
      </c>
      <c r="AY13" s="14">
        <v>0</v>
      </c>
      <c r="AZ13" s="14">
        <v>0</v>
      </c>
      <c r="BA13" s="14">
        <v>0</v>
      </c>
      <c r="BB13" s="14">
        <v>0</v>
      </c>
      <c r="BC13" s="13">
        <v>0</v>
      </c>
    </row>
    <row r="14" spans="1:55" ht="15.4" customHeight="1">
      <c r="A14" s="7" t="s">
        <v>70</v>
      </c>
      <c r="B14" s="8" t="s">
        <v>71</v>
      </c>
      <c r="C14" s="8" t="s">
        <v>127</v>
      </c>
      <c r="D14" s="7" t="s">
        <v>128</v>
      </c>
      <c r="E14" s="7" t="s">
        <v>74</v>
      </c>
      <c r="F14" s="7" t="s">
        <v>60</v>
      </c>
      <c r="G14" s="7" t="s">
        <v>61</v>
      </c>
      <c r="H14" s="7" t="s">
        <v>129</v>
      </c>
      <c r="I14" s="7" t="s">
        <v>130</v>
      </c>
      <c r="J14" s="8">
        <v>30</v>
      </c>
      <c r="K14" s="8"/>
      <c r="L14" s="8"/>
      <c r="M14" s="8"/>
      <c r="N14" s="8"/>
      <c r="O14" s="8"/>
      <c r="P14" s="8"/>
      <c r="Q14" s="7">
        <v>1</v>
      </c>
      <c r="R14" s="7" t="s">
        <v>64</v>
      </c>
      <c r="S14" s="9">
        <v>45498</v>
      </c>
      <c r="T14" s="9" t="s">
        <v>77</v>
      </c>
      <c r="U14" s="7" t="s">
        <v>77</v>
      </c>
      <c r="V14" s="9">
        <v>45546</v>
      </c>
      <c r="W14" s="9">
        <v>45559</v>
      </c>
      <c r="X14" s="9">
        <v>45559</v>
      </c>
      <c r="Y14" s="9">
        <v>45567</v>
      </c>
      <c r="Z14" s="9">
        <v>45581</v>
      </c>
      <c r="AA14" s="9">
        <v>45583</v>
      </c>
      <c r="AB14" s="7">
        <v>30</v>
      </c>
      <c r="AC14" s="7">
        <v>1</v>
      </c>
      <c r="AD14" s="9">
        <v>41933</v>
      </c>
      <c r="AE14" s="9">
        <v>45587</v>
      </c>
      <c r="AF14" s="9">
        <v>45597</v>
      </c>
      <c r="AG14" s="7" t="s">
        <v>78</v>
      </c>
      <c r="AH14" s="9">
        <v>45593</v>
      </c>
      <c r="AI14" s="12" t="s">
        <v>102</v>
      </c>
      <c r="AJ14" s="12"/>
      <c r="AK14" s="12"/>
      <c r="AL14" s="12"/>
      <c r="AM14" s="12">
        <v>0</v>
      </c>
      <c r="AN14" s="12">
        <v>2</v>
      </c>
      <c r="AO14" s="12">
        <v>0</v>
      </c>
      <c r="AP14" s="12">
        <v>1</v>
      </c>
      <c r="AQ14" s="12">
        <v>1</v>
      </c>
      <c r="AR14" s="12">
        <v>0</v>
      </c>
      <c r="AS14" s="12">
        <v>0</v>
      </c>
      <c r="AT14" s="12">
        <v>0</v>
      </c>
      <c r="AU14" s="12"/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</row>
    <row r="15" spans="1:55" s="2" customFormat="1" ht="15.4" customHeight="1">
      <c r="A15" s="7" t="s">
        <v>131</v>
      </c>
      <c r="B15" s="8" t="s">
        <v>132</v>
      </c>
      <c r="C15" s="8" t="s">
        <v>133</v>
      </c>
      <c r="D15" s="7" t="s">
        <v>134</v>
      </c>
      <c r="E15" s="7" t="s">
        <v>83</v>
      </c>
      <c r="F15" s="7" t="s">
        <v>60</v>
      </c>
      <c r="G15" s="7" t="s">
        <v>61</v>
      </c>
      <c r="H15" s="7" t="s">
        <v>135</v>
      </c>
      <c r="I15" s="7" t="s">
        <v>136</v>
      </c>
      <c r="J15" s="8">
        <v>9</v>
      </c>
      <c r="K15" s="8"/>
      <c r="L15" s="8"/>
      <c r="M15" s="8"/>
      <c r="N15" s="8"/>
      <c r="O15" s="8"/>
      <c r="P15" s="8"/>
      <c r="Q15" s="7" t="s">
        <v>96</v>
      </c>
      <c r="R15" s="7" t="s">
        <v>137</v>
      </c>
      <c r="S15" s="7" t="s">
        <v>77</v>
      </c>
      <c r="T15" s="7" t="s">
        <v>77</v>
      </c>
      <c r="U15" s="7" t="s">
        <v>77</v>
      </c>
      <c r="V15" s="7" t="s">
        <v>77</v>
      </c>
      <c r="W15" s="7" t="s">
        <v>77</v>
      </c>
      <c r="X15" s="7" t="s">
        <v>77</v>
      </c>
      <c r="Y15" s="7" t="s">
        <v>77</v>
      </c>
      <c r="Z15" s="9" t="s">
        <v>77</v>
      </c>
      <c r="AA15" s="9" t="s">
        <v>77</v>
      </c>
      <c r="AB15" s="7" t="s">
        <v>77</v>
      </c>
      <c r="AC15" s="7" t="s">
        <v>77</v>
      </c>
      <c r="AD15" s="9" t="s">
        <v>77</v>
      </c>
      <c r="AE15" s="9" t="s">
        <v>77</v>
      </c>
      <c r="AF15" s="9" t="s">
        <v>77</v>
      </c>
      <c r="AG15" s="7" t="s">
        <v>77</v>
      </c>
      <c r="AH15" s="7" t="s">
        <v>77</v>
      </c>
      <c r="AI15" s="24"/>
      <c r="AJ15" s="12"/>
      <c r="AK15" s="12"/>
      <c r="AL15" s="12"/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/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</row>
    <row r="16" spans="1:55" s="2" customFormat="1" ht="15.4" customHeight="1">
      <c r="A16" s="7" t="s">
        <v>131</v>
      </c>
      <c r="B16" s="8" t="s">
        <v>132</v>
      </c>
      <c r="C16" s="8" t="s">
        <v>133</v>
      </c>
      <c r="D16" s="7" t="s">
        <v>134</v>
      </c>
      <c r="E16" s="7" t="s">
        <v>83</v>
      </c>
      <c r="F16" s="7" t="s">
        <v>60</v>
      </c>
      <c r="G16" s="7" t="s">
        <v>61</v>
      </c>
      <c r="H16" s="7" t="s">
        <v>135</v>
      </c>
      <c r="I16" s="7" t="s">
        <v>138</v>
      </c>
      <c r="J16" s="8">
        <v>13</v>
      </c>
      <c r="K16" s="8"/>
      <c r="L16" s="8"/>
      <c r="M16" s="8"/>
      <c r="N16" s="8"/>
      <c r="O16" s="8"/>
      <c r="P16" s="8"/>
      <c r="Q16" s="7" t="s">
        <v>96</v>
      </c>
      <c r="R16" s="7" t="s">
        <v>139</v>
      </c>
      <c r="S16" s="7" t="s">
        <v>77</v>
      </c>
      <c r="T16" s="7" t="s">
        <v>77</v>
      </c>
      <c r="U16" s="7" t="s">
        <v>77</v>
      </c>
      <c r="V16" s="7" t="s">
        <v>77</v>
      </c>
      <c r="W16" s="7" t="s">
        <v>77</v>
      </c>
      <c r="X16" s="7" t="s">
        <v>77</v>
      </c>
      <c r="Y16" s="7" t="s">
        <v>77</v>
      </c>
      <c r="Z16" s="9" t="s">
        <v>77</v>
      </c>
      <c r="AA16" s="9" t="s">
        <v>77</v>
      </c>
      <c r="AB16" s="7" t="s">
        <v>77</v>
      </c>
      <c r="AC16" s="7" t="s">
        <v>77</v>
      </c>
      <c r="AD16" s="9" t="s">
        <v>77</v>
      </c>
      <c r="AE16" s="9" t="s">
        <v>77</v>
      </c>
      <c r="AF16" s="9" t="s">
        <v>77</v>
      </c>
      <c r="AG16" s="7" t="s">
        <v>77</v>
      </c>
      <c r="AH16" s="7" t="s">
        <v>77</v>
      </c>
      <c r="AI16" s="24"/>
      <c r="AJ16" s="12"/>
      <c r="AK16" s="12"/>
      <c r="AL16" s="12"/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/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</row>
    <row r="17" spans="1:55" ht="15.4" customHeight="1">
      <c r="A17" s="7" t="s">
        <v>131</v>
      </c>
      <c r="B17" s="8" t="s">
        <v>132</v>
      </c>
      <c r="C17" s="8" t="s">
        <v>133</v>
      </c>
      <c r="D17" s="7" t="s">
        <v>134</v>
      </c>
      <c r="E17" s="7" t="s">
        <v>83</v>
      </c>
      <c r="F17" s="7" t="s">
        <v>60</v>
      </c>
      <c r="G17" s="7" t="s">
        <v>61</v>
      </c>
      <c r="H17" s="7" t="s">
        <v>135</v>
      </c>
      <c r="I17" s="7" t="s">
        <v>140</v>
      </c>
      <c r="J17" s="8">
        <v>36</v>
      </c>
      <c r="K17" s="8"/>
      <c r="L17" s="8"/>
      <c r="M17" s="8"/>
      <c r="N17" s="8"/>
      <c r="O17" s="8"/>
      <c r="P17" s="8"/>
      <c r="Q17" s="7" t="s">
        <v>96</v>
      </c>
      <c r="R17" s="7" t="s">
        <v>141</v>
      </c>
      <c r="S17" s="7" t="s">
        <v>77</v>
      </c>
      <c r="T17" s="9" t="s">
        <v>77</v>
      </c>
      <c r="U17" s="7" t="s">
        <v>77</v>
      </c>
      <c r="V17" s="7" t="s">
        <v>77</v>
      </c>
      <c r="W17" s="7" t="s">
        <v>77</v>
      </c>
      <c r="X17" s="7" t="s">
        <v>77</v>
      </c>
      <c r="Y17" s="7" t="s">
        <v>77</v>
      </c>
      <c r="Z17" s="7" t="s">
        <v>77</v>
      </c>
      <c r="AA17" s="7" t="s">
        <v>77</v>
      </c>
      <c r="AB17" s="7">
        <v>40</v>
      </c>
      <c r="AC17" s="7" t="s">
        <v>77</v>
      </c>
      <c r="AD17" s="9" t="s">
        <v>77</v>
      </c>
      <c r="AE17" s="9" t="s">
        <v>77</v>
      </c>
      <c r="AF17" s="9" t="s">
        <v>77</v>
      </c>
      <c r="AG17" s="7" t="s">
        <v>77</v>
      </c>
      <c r="AH17" s="7" t="s">
        <v>77</v>
      </c>
      <c r="AI17" s="12"/>
      <c r="AJ17" s="12"/>
      <c r="AK17" s="12"/>
      <c r="AL17" s="12"/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/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</row>
    <row r="18" spans="1:55" ht="15.4" customHeight="1">
      <c r="A18" s="7" t="s">
        <v>70</v>
      </c>
      <c r="B18" s="8" t="s">
        <v>71</v>
      </c>
      <c r="C18" s="8" t="s">
        <v>142</v>
      </c>
      <c r="D18" s="7" t="s">
        <v>143</v>
      </c>
      <c r="E18" s="7" t="s">
        <v>74</v>
      </c>
      <c r="F18" s="7" t="s">
        <v>60</v>
      </c>
      <c r="G18" s="9" t="s">
        <v>61</v>
      </c>
      <c r="H18" s="8" t="s">
        <v>144</v>
      </c>
      <c r="I18" s="7" t="s">
        <v>145</v>
      </c>
      <c r="J18" s="8">
        <v>23</v>
      </c>
      <c r="K18" s="10"/>
      <c r="L18" s="10"/>
      <c r="M18" s="10"/>
      <c r="N18" s="10"/>
      <c r="O18" s="10"/>
      <c r="P18" s="10"/>
      <c r="Q18" s="7">
        <v>1</v>
      </c>
      <c r="R18" s="7" t="s">
        <v>64</v>
      </c>
      <c r="S18" s="9">
        <v>45498</v>
      </c>
      <c r="T18" s="9" t="s">
        <v>88</v>
      </c>
      <c r="U18" s="7" t="s">
        <v>77</v>
      </c>
      <c r="V18" s="9">
        <v>45546</v>
      </c>
      <c r="W18" s="9">
        <v>45559</v>
      </c>
      <c r="X18" s="9">
        <v>45559</v>
      </c>
      <c r="Y18" s="9">
        <v>45567</v>
      </c>
      <c r="Z18" s="9">
        <v>45582</v>
      </c>
      <c r="AA18" s="9">
        <v>45583</v>
      </c>
      <c r="AB18" s="7">
        <v>23</v>
      </c>
      <c r="AC18" s="7">
        <v>1</v>
      </c>
      <c r="AD18" s="9">
        <v>41933</v>
      </c>
      <c r="AE18" s="9">
        <v>45587</v>
      </c>
      <c r="AF18" s="9">
        <v>45597</v>
      </c>
      <c r="AG18" s="7" t="s">
        <v>78</v>
      </c>
      <c r="AH18" s="9">
        <v>45595</v>
      </c>
      <c r="AI18" s="12" t="s">
        <v>146</v>
      </c>
      <c r="AJ18" s="12"/>
      <c r="AK18" s="12"/>
      <c r="AL18" s="12" t="s">
        <v>120</v>
      </c>
      <c r="AM18" s="12">
        <v>0</v>
      </c>
      <c r="AN18" s="12">
        <v>2</v>
      </c>
      <c r="AO18" s="12">
        <v>0</v>
      </c>
      <c r="AP18" s="12">
        <v>1</v>
      </c>
      <c r="AQ18" s="12">
        <v>1</v>
      </c>
      <c r="AR18" s="12">
        <v>0</v>
      </c>
      <c r="AS18" s="12">
        <v>0</v>
      </c>
      <c r="AT18" s="12">
        <v>0</v>
      </c>
      <c r="AU18" s="12"/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</row>
    <row r="19" spans="1:55" ht="15.4" customHeight="1">
      <c r="A19" s="7" t="s">
        <v>131</v>
      </c>
      <c r="B19" s="8"/>
      <c r="C19" s="8"/>
      <c r="D19" s="7"/>
      <c r="E19" s="7" t="s">
        <v>83</v>
      </c>
      <c r="F19" s="7" t="s">
        <v>60</v>
      </c>
      <c r="G19" s="9" t="s">
        <v>61</v>
      </c>
      <c r="H19" s="8" t="s">
        <v>147</v>
      </c>
      <c r="I19" s="7" t="s">
        <v>148</v>
      </c>
      <c r="J19" s="8"/>
      <c r="K19" s="10"/>
      <c r="L19" s="10"/>
      <c r="M19" s="10"/>
      <c r="N19" s="10"/>
      <c r="O19" s="10"/>
      <c r="P19" s="10"/>
      <c r="Q19" s="7" t="s">
        <v>96</v>
      </c>
      <c r="R19" s="7"/>
      <c r="S19" s="9"/>
      <c r="T19" s="9"/>
      <c r="U19" s="7" t="s">
        <v>77</v>
      </c>
      <c r="V19" s="9"/>
      <c r="W19" s="9"/>
      <c r="X19" s="9"/>
      <c r="Y19" s="9"/>
      <c r="Z19" s="9"/>
      <c r="AA19" s="9"/>
      <c r="AB19" s="7"/>
      <c r="AC19" s="7">
        <v>1</v>
      </c>
      <c r="AD19" s="9"/>
      <c r="AE19" s="9"/>
      <c r="AF19" s="9"/>
      <c r="AG19" s="7"/>
      <c r="AH19" s="9"/>
      <c r="AI19" s="12"/>
      <c r="AJ19" s="12"/>
      <c r="AK19" s="12"/>
      <c r="AL19" s="12"/>
      <c r="AM19" s="12">
        <v>0</v>
      </c>
      <c r="AN19" s="12">
        <v>24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/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</row>
    <row r="20" spans="1:55" ht="15.4" customHeight="1">
      <c r="A20" s="7" t="s">
        <v>70</v>
      </c>
      <c r="B20" s="8" t="s">
        <v>149</v>
      </c>
      <c r="C20" s="7" t="s">
        <v>150</v>
      </c>
      <c r="D20" s="7" t="s">
        <v>151</v>
      </c>
      <c r="E20" s="7" t="s">
        <v>123</v>
      </c>
      <c r="F20" s="7" t="s">
        <v>60</v>
      </c>
      <c r="G20" s="9" t="s">
        <v>61</v>
      </c>
      <c r="H20" s="7" t="s">
        <v>152</v>
      </c>
      <c r="I20" s="7" t="s">
        <v>153</v>
      </c>
      <c r="J20" s="8">
        <v>5</v>
      </c>
      <c r="K20" s="8"/>
      <c r="L20" s="8"/>
      <c r="M20" s="8"/>
      <c r="N20" s="8"/>
      <c r="O20" s="8"/>
      <c r="P20" s="8"/>
      <c r="Q20" s="7">
        <v>1</v>
      </c>
      <c r="R20" s="7" t="s">
        <v>64</v>
      </c>
      <c r="S20" s="9">
        <v>45498</v>
      </c>
      <c r="T20" s="9" t="s">
        <v>77</v>
      </c>
      <c r="U20" s="7" t="s">
        <v>77</v>
      </c>
      <c r="V20" s="9">
        <v>45546</v>
      </c>
      <c r="W20" s="9">
        <v>45566</v>
      </c>
      <c r="X20" s="9">
        <v>45566</v>
      </c>
      <c r="Y20" s="9">
        <v>45568</v>
      </c>
      <c r="Z20" s="9">
        <v>45572</v>
      </c>
      <c r="AA20" s="9">
        <v>45575</v>
      </c>
      <c r="AB20" s="7">
        <v>6</v>
      </c>
      <c r="AC20" s="7">
        <v>1</v>
      </c>
      <c r="AD20" s="9">
        <v>41929</v>
      </c>
      <c r="AE20" s="9">
        <v>45587</v>
      </c>
      <c r="AF20" s="9">
        <v>45597</v>
      </c>
      <c r="AG20" s="7" t="s">
        <v>67</v>
      </c>
      <c r="AH20" s="7" t="s">
        <v>68</v>
      </c>
      <c r="AI20" s="12" t="s">
        <v>154</v>
      </c>
      <c r="AJ20" s="12"/>
      <c r="AK20" s="12"/>
      <c r="AL20" s="12"/>
      <c r="AM20" s="14">
        <v>0</v>
      </c>
      <c r="AN20" s="14">
        <v>2</v>
      </c>
      <c r="AO20" s="12">
        <v>0</v>
      </c>
      <c r="AP20" s="14">
        <v>1</v>
      </c>
      <c r="AQ20" s="14">
        <v>1</v>
      </c>
      <c r="AR20" s="14">
        <v>0</v>
      </c>
      <c r="AS20" s="14">
        <v>0</v>
      </c>
      <c r="AT20" s="14">
        <v>0</v>
      </c>
      <c r="AU20" s="14"/>
      <c r="AV20" s="14">
        <v>0</v>
      </c>
      <c r="AW20" s="14">
        <v>0</v>
      </c>
      <c r="AX20" s="14">
        <v>0</v>
      </c>
      <c r="AY20" s="14">
        <v>0</v>
      </c>
      <c r="AZ20" s="12">
        <v>0</v>
      </c>
      <c r="BA20" s="12">
        <v>0</v>
      </c>
      <c r="BB20" s="12">
        <v>0</v>
      </c>
      <c r="BC20" s="13">
        <v>0</v>
      </c>
    </row>
    <row r="21" spans="1:55" ht="15.4" customHeight="1">
      <c r="A21" s="7" t="s">
        <v>155</v>
      </c>
      <c r="B21" s="8" t="s">
        <v>156</v>
      </c>
      <c r="C21" s="7" t="s">
        <v>157</v>
      </c>
      <c r="D21" s="7" t="s">
        <v>158</v>
      </c>
      <c r="E21" s="7" t="s">
        <v>159</v>
      </c>
      <c r="F21" s="7" t="s">
        <v>60</v>
      </c>
      <c r="G21" s="7" t="s">
        <v>61</v>
      </c>
      <c r="H21" s="7" t="s">
        <v>160</v>
      </c>
      <c r="I21" s="7" t="s">
        <v>161</v>
      </c>
      <c r="J21" s="8">
        <v>15</v>
      </c>
      <c r="K21" s="10"/>
      <c r="L21" s="8"/>
      <c r="M21" s="8"/>
      <c r="N21" s="8"/>
      <c r="O21" s="8"/>
      <c r="P21" s="8"/>
      <c r="Q21" s="7">
        <v>1</v>
      </c>
      <c r="R21" s="7" t="s">
        <v>64</v>
      </c>
      <c r="S21" s="9">
        <v>45498</v>
      </c>
      <c r="T21" s="9" t="s">
        <v>88</v>
      </c>
      <c r="U21" s="7" t="s">
        <v>77</v>
      </c>
      <c r="V21" s="9">
        <v>45545</v>
      </c>
      <c r="W21" s="7" t="s">
        <v>162</v>
      </c>
      <c r="X21" s="7" t="s">
        <v>162</v>
      </c>
      <c r="Y21" s="7" t="s">
        <v>162</v>
      </c>
      <c r="Z21" s="7" t="s">
        <v>162</v>
      </c>
      <c r="AA21" s="9" t="s">
        <v>162</v>
      </c>
      <c r="AB21" s="7">
        <v>21</v>
      </c>
      <c r="AC21" s="7">
        <v>1</v>
      </c>
      <c r="AD21" s="9">
        <v>41933</v>
      </c>
      <c r="AE21" s="9">
        <v>45587</v>
      </c>
      <c r="AF21" s="9">
        <v>45597</v>
      </c>
      <c r="AG21" s="7" t="s">
        <v>78</v>
      </c>
      <c r="AH21" s="9">
        <v>45596</v>
      </c>
      <c r="AI21" s="12"/>
      <c r="AJ21" s="12"/>
      <c r="AK21" s="12"/>
      <c r="AL21" s="12" t="s">
        <v>120</v>
      </c>
      <c r="AM21" s="12">
        <v>0</v>
      </c>
      <c r="AN21" s="12">
        <v>2</v>
      </c>
      <c r="AO21" s="12">
        <v>0</v>
      </c>
      <c r="AP21" s="12">
        <v>1</v>
      </c>
      <c r="AQ21" s="12">
        <v>1</v>
      </c>
      <c r="AR21" s="12">
        <v>0</v>
      </c>
      <c r="AS21" s="12">
        <v>0</v>
      </c>
      <c r="AT21" s="12">
        <v>0</v>
      </c>
      <c r="AU21" s="12"/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</row>
    <row r="22" spans="1:55" ht="15.4" customHeight="1">
      <c r="A22" s="7" t="s">
        <v>90</v>
      </c>
      <c r="B22" s="8" t="s">
        <v>163</v>
      </c>
      <c r="C22" s="8" t="s">
        <v>164</v>
      </c>
      <c r="D22" s="7" t="s">
        <v>165</v>
      </c>
      <c r="E22" s="7" t="s">
        <v>83</v>
      </c>
      <c r="F22" s="7" t="s">
        <v>60</v>
      </c>
      <c r="G22" s="7" t="s">
        <v>61</v>
      </c>
      <c r="H22" s="7" t="s">
        <v>166</v>
      </c>
      <c r="I22" s="7" t="s">
        <v>167</v>
      </c>
      <c r="J22" s="8">
        <v>12</v>
      </c>
      <c r="K22" s="8"/>
      <c r="L22" s="8"/>
      <c r="M22" s="8"/>
      <c r="N22" s="8"/>
      <c r="O22" s="8"/>
      <c r="P22" s="8"/>
      <c r="Q22" s="7" t="s">
        <v>96</v>
      </c>
      <c r="R22" s="7" t="s">
        <v>64</v>
      </c>
      <c r="S22" s="9">
        <v>45498</v>
      </c>
      <c r="T22" s="9" t="s">
        <v>168</v>
      </c>
      <c r="U22" s="9" t="s">
        <v>169</v>
      </c>
      <c r="V22" s="9">
        <v>45546</v>
      </c>
      <c r="W22" s="9">
        <v>45560</v>
      </c>
      <c r="X22" s="9">
        <v>45561</v>
      </c>
      <c r="Y22" s="9">
        <v>45568</v>
      </c>
      <c r="Z22" s="9">
        <v>45579</v>
      </c>
      <c r="AA22" s="9">
        <v>45583</v>
      </c>
      <c r="AB22" s="7">
        <v>13</v>
      </c>
      <c r="AC22" s="7">
        <v>1</v>
      </c>
      <c r="AD22" s="9">
        <v>45583</v>
      </c>
      <c r="AE22" s="9">
        <v>45587</v>
      </c>
      <c r="AF22" s="9">
        <v>45597</v>
      </c>
      <c r="AG22" s="7" t="s">
        <v>78</v>
      </c>
      <c r="AH22" s="9">
        <v>45586</v>
      </c>
      <c r="AI22" s="12" t="s">
        <v>69</v>
      </c>
      <c r="AJ22" s="9"/>
      <c r="AK22" s="9"/>
      <c r="AL22" s="9"/>
      <c r="AM22" s="12">
        <v>0</v>
      </c>
      <c r="AN22" s="12">
        <v>12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/>
      <c r="AV22" s="12">
        <v>0</v>
      </c>
      <c r="AW22" s="12">
        <v>0</v>
      </c>
      <c r="AX22" s="12">
        <v>0</v>
      </c>
      <c r="AY22" s="12">
        <v>0</v>
      </c>
      <c r="AZ22" s="14">
        <v>0</v>
      </c>
      <c r="BA22" s="14">
        <v>1</v>
      </c>
      <c r="BB22" s="14">
        <v>0</v>
      </c>
      <c r="BC22" s="12">
        <v>0</v>
      </c>
    </row>
    <row r="23" spans="1:55" ht="15.4" customHeight="1">
      <c r="A23" s="7" t="s">
        <v>90</v>
      </c>
      <c r="B23" s="8" t="s">
        <v>163</v>
      </c>
      <c r="C23" s="8" t="s">
        <v>164</v>
      </c>
      <c r="D23" s="7" t="s">
        <v>165</v>
      </c>
      <c r="E23" s="7" t="s">
        <v>83</v>
      </c>
      <c r="F23" s="7" t="s">
        <v>60</v>
      </c>
      <c r="G23" s="7" t="s">
        <v>61</v>
      </c>
      <c r="H23" s="7" t="s">
        <v>166</v>
      </c>
      <c r="I23" s="7" t="s">
        <v>170</v>
      </c>
      <c r="J23" s="8">
        <v>14</v>
      </c>
      <c r="K23" s="8"/>
      <c r="L23" s="8"/>
      <c r="M23" s="8"/>
      <c r="N23" s="8"/>
      <c r="O23" s="8"/>
      <c r="P23" s="8"/>
      <c r="Q23" s="7" t="s">
        <v>96</v>
      </c>
      <c r="R23" s="7" t="s">
        <v>64</v>
      </c>
      <c r="S23" s="9">
        <v>45498</v>
      </c>
      <c r="T23" s="9" t="s">
        <v>168</v>
      </c>
      <c r="U23" s="9" t="s">
        <v>169</v>
      </c>
      <c r="V23" s="9">
        <v>45546</v>
      </c>
      <c r="W23" s="9">
        <v>45560</v>
      </c>
      <c r="X23" s="9">
        <v>45561</v>
      </c>
      <c r="Y23" s="9">
        <v>45568</v>
      </c>
      <c r="Z23" s="9">
        <v>45579</v>
      </c>
      <c r="AA23" s="9">
        <v>45583</v>
      </c>
      <c r="AB23" s="7">
        <v>15</v>
      </c>
      <c r="AC23" s="7">
        <v>1</v>
      </c>
      <c r="AD23" s="9">
        <v>45583</v>
      </c>
      <c r="AE23" s="9">
        <v>45587</v>
      </c>
      <c r="AF23" s="9">
        <v>45597</v>
      </c>
      <c r="AG23" s="7" t="s">
        <v>78</v>
      </c>
      <c r="AH23" s="9">
        <v>45586</v>
      </c>
      <c r="AI23" s="12" t="s">
        <v>69</v>
      </c>
      <c r="AJ23" s="9"/>
      <c r="AK23" s="9"/>
      <c r="AL23" s="9"/>
      <c r="AM23" s="12">
        <v>0</v>
      </c>
      <c r="AN23" s="12">
        <v>14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/>
      <c r="AV23" s="12">
        <v>0</v>
      </c>
      <c r="AW23" s="12">
        <v>0</v>
      </c>
      <c r="AX23" s="12">
        <v>0</v>
      </c>
      <c r="AY23" s="12">
        <v>0</v>
      </c>
      <c r="AZ23" s="14">
        <v>0</v>
      </c>
      <c r="BA23" s="14">
        <v>1</v>
      </c>
      <c r="BB23" s="14">
        <v>0</v>
      </c>
      <c r="BC23" s="12">
        <v>0</v>
      </c>
    </row>
    <row r="24" spans="1:55" ht="15.4" customHeight="1">
      <c r="A24" s="7" t="s">
        <v>90</v>
      </c>
      <c r="B24" s="8" t="s">
        <v>163</v>
      </c>
      <c r="C24" s="8" t="s">
        <v>164</v>
      </c>
      <c r="D24" s="7" t="s">
        <v>165</v>
      </c>
      <c r="E24" s="7" t="s">
        <v>83</v>
      </c>
      <c r="F24" s="7" t="s">
        <v>60</v>
      </c>
      <c r="G24" s="7" t="s">
        <v>61</v>
      </c>
      <c r="H24" s="7" t="s">
        <v>166</v>
      </c>
      <c r="I24" s="7" t="s">
        <v>171</v>
      </c>
      <c r="J24" s="8">
        <v>15</v>
      </c>
      <c r="K24" s="8"/>
      <c r="L24" s="8"/>
      <c r="M24" s="8"/>
      <c r="N24" s="8"/>
      <c r="O24" s="8"/>
      <c r="P24" s="8"/>
      <c r="Q24" s="7" t="s">
        <v>96</v>
      </c>
      <c r="R24" s="7" t="s">
        <v>64</v>
      </c>
      <c r="S24" s="9">
        <v>45498</v>
      </c>
      <c r="T24" s="9" t="s">
        <v>66</v>
      </c>
      <c r="U24" s="9" t="s">
        <v>169</v>
      </c>
      <c r="V24" s="9">
        <v>45546</v>
      </c>
      <c r="W24" s="9">
        <v>45560</v>
      </c>
      <c r="X24" s="9">
        <v>45561</v>
      </c>
      <c r="Y24" s="9">
        <v>45568</v>
      </c>
      <c r="Z24" s="9">
        <v>45579</v>
      </c>
      <c r="AA24" s="9">
        <v>45583</v>
      </c>
      <c r="AB24" s="7">
        <v>16</v>
      </c>
      <c r="AC24" s="7">
        <v>1</v>
      </c>
      <c r="AD24" s="9">
        <v>45583</v>
      </c>
      <c r="AE24" s="9">
        <v>45587</v>
      </c>
      <c r="AF24" s="9">
        <v>45597</v>
      </c>
      <c r="AG24" s="7" t="s">
        <v>78</v>
      </c>
      <c r="AH24" s="9">
        <v>45586</v>
      </c>
      <c r="AI24" s="12" t="s">
        <v>69</v>
      </c>
      <c r="AJ24" s="9"/>
      <c r="AK24" s="9"/>
      <c r="AL24" s="9"/>
      <c r="AM24" s="12">
        <v>0</v>
      </c>
      <c r="AN24" s="12">
        <v>15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/>
      <c r="AV24" s="12">
        <v>0</v>
      </c>
      <c r="AW24" s="12">
        <v>0</v>
      </c>
      <c r="AX24" s="12">
        <v>0</v>
      </c>
      <c r="AY24" s="12">
        <v>0</v>
      </c>
      <c r="AZ24" s="14">
        <v>0</v>
      </c>
      <c r="BA24" s="14">
        <v>1</v>
      </c>
      <c r="BB24" s="14">
        <v>0</v>
      </c>
      <c r="BC24" s="12">
        <v>0</v>
      </c>
    </row>
    <row r="25" spans="1:55" ht="15.4" customHeight="1">
      <c r="A25" s="7" t="s">
        <v>90</v>
      </c>
      <c r="B25" s="8" t="s">
        <v>163</v>
      </c>
      <c r="C25" s="8" t="s">
        <v>164</v>
      </c>
      <c r="D25" s="7" t="s">
        <v>165</v>
      </c>
      <c r="E25" s="7" t="s">
        <v>83</v>
      </c>
      <c r="F25" s="7" t="s">
        <v>60</v>
      </c>
      <c r="G25" s="7" t="s">
        <v>61</v>
      </c>
      <c r="H25" s="7" t="s">
        <v>166</v>
      </c>
      <c r="I25" s="7" t="s">
        <v>172</v>
      </c>
      <c r="J25" s="8">
        <v>18</v>
      </c>
      <c r="K25" s="8"/>
      <c r="L25" s="8"/>
      <c r="M25" s="8"/>
      <c r="N25" s="8"/>
      <c r="O25" s="8"/>
      <c r="P25" s="8"/>
      <c r="Q25" s="7" t="s">
        <v>96</v>
      </c>
      <c r="R25" s="7" t="s">
        <v>64</v>
      </c>
      <c r="S25" s="9">
        <v>45498</v>
      </c>
      <c r="T25" s="9" t="s">
        <v>168</v>
      </c>
      <c r="U25" s="9" t="s">
        <v>169</v>
      </c>
      <c r="V25" s="9">
        <v>45546</v>
      </c>
      <c r="W25" s="9">
        <v>45560</v>
      </c>
      <c r="X25" s="9">
        <v>45561</v>
      </c>
      <c r="Y25" s="9">
        <v>45568</v>
      </c>
      <c r="Z25" s="9">
        <v>45579</v>
      </c>
      <c r="AA25" s="9">
        <v>45583</v>
      </c>
      <c r="AB25" s="7">
        <v>19</v>
      </c>
      <c r="AC25" s="7">
        <v>1</v>
      </c>
      <c r="AD25" s="9">
        <v>45583</v>
      </c>
      <c r="AE25" s="9">
        <v>45587</v>
      </c>
      <c r="AF25" s="9">
        <v>45597</v>
      </c>
      <c r="AG25" s="7" t="s">
        <v>78</v>
      </c>
      <c r="AH25" s="9">
        <v>45586</v>
      </c>
      <c r="AI25" s="12" t="s">
        <v>69</v>
      </c>
      <c r="AJ25" s="9"/>
      <c r="AK25" s="9"/>
      <c r="AL25" s="9"/>
      <c r="AM25" s="12">
        <v>0</v>
      </c>
      <c r="AN25" s="12">
        <v>18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/>
      <c r="AV25" s="12">
        <v>0</v>
      </c>
      <c r="AW25" s="12">
        <v>0</v>
      </c>
      <c r="AX25" s="12">
        <v>0</v>
      </c>
      <c r="AY25" s="12">
        <v>0</v>
      </c>
      <c r="AZ25" s="14">
        <v>0</v>
      </c>
      <c r="BA25" s="14">
        <v>1</v>
      </c>
      <c r="BB25" s="14">
        <v>0</v>
      </c>
      <c r="BC25" s="12">
        <v>0</v>
      </c>
    </row>
    <row r="26" spans="1:55" ht="15.4" customHeight="1">
      <c r="A26" s="7" t="s">
        <v>90</v>
      </c>
      <c r="B26" s="8" t="s">
        <v>163</v>
      </c>
      <c r="C26" s="8" t="s">
        <v>164</v>
      </c>
      <c r="D26" s="7" t="s">
        <v>165</v>
      </c>
      <c r="E26" s="7" t="s">
        <v>83</v>
      </c>
      <c r="F26" s="7" t="s">
        <v>60</v>
      </c>
      <c r="G26" s="7" t="s">
        <v>61</v>
      </c>
      <c r="H26" s="7" t="s">
        <v>166</v>
      </c>
      <c r="I26" s="7" t="s">
        <v>173</v>
      </c>
      <c r="J26" s="8">
        <v>20</v>
      </c>
      <c r="K26" s="8"/>
      <c r="L26" s="8"/>
      <c r="M26" s="8"/>
      <c r="N26" s="8"/>
      <c r="O26" s="8"/>
      <c r="P26" s="8"/>
      <c r="Q26" s="7" t="s">
        <v>96</v>
      </c>
      <c r="R26" s="7" t="s">
        <v>64</v>
      </c>
      <c r="S26" s="9">
        <v>45498</v>
      </c>
      <c r="T26" s="9" t="s">
        <v>66</v>
      </c>
      <c r="U26" s="9" t="s">
        <v>169</v>
      </c>
      <c r="V26" s="9">
        <v>45546</v>
      </c>
      <c r="W26" s="9">
        <v>45560</v>
      </c>
      <c r="X26" s="9">
        <v>45561</v>
      </c>
      <c r="Y26" s="9">
        <v>45568</v>
      </c>
      <c r="Z26" s="9">
        <v>45579</v>
      </c>
      <c r="AA26" s="9">
        <v>45583</v>
      </c>
      <c r="AB26" s="7">
        <v>21</v>
      </c>
      <c r="AC26" s="7">
        <v>1</v>
      </c>
      <c r="AD26" s="9">
        <v>41933</v>
      </c>
      <c r="AE26" s="9">
        <v>45587</v>
      </c>
      <c r="AF26" s="9">
        <v>45597</v>
      </c>
      <c r="AG26" s="7" t="s">
        <v>78</v>
      </c>
      <c r="AH26" s="9">
        <v>45586</v>
      </c>
      <c r="AI26" s="12" t="s">
        <v>69</v>
      </c>
      <c r="AJ26" s="9"/>
      <c r="AK26" s="9"/>
      <c r="AL26" s="9"/>
      <c r="AM26" s="12">
        <v>0</v>
      </c>
      <c r="AN26" s="12">
        <v>20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/>
      <c r="AV26" s="12">
        <v>0</v>
      </c>
      <c r="AW26" s="12">
        <v>0</v>
      </c>
      <c r="AX26" s="12">
        <v>0</v>
      </c>
      <c r="AY26" s="12">
        <v>0</v>
      </c>
      <c r="AZ26" s="14">
        <v>0</v>
      </c>
      <c r="BA26" s="14">
        <v>1</v>
      </c>
      <c r="BB26" s="14">
        <v>0</v>
      </c>
      <c r="BC26" s="12">
        <v>0</v>
      </c>
    </row>
    <row r="27" spans="1:55" ht="15.4" customHeight="1">
      <c r="A27" s="7" t="s">
        <v>90</v>
      </c>
      <c r="B27" s="8" t="s">
        <v>163</v>
      </c>
      <c r="C27" s="8" t="s">
        <v>164</v>
      </c>
      <c r="D27" s="7" t="s">
        <v>165</v>
      </c>
      <c r="E27" s="7" t="s">
        <v>83</v>
      </c>
      <c r="F27" s="7" t="s">
        <v>60</v>
      </c>
      <c r="G27" s="7" t="s">
        <v>61</v>
      </c>
      <c r="H27" s="7" t="s">
        <v>166</v>
      </c>
      <c r="I27" s="7" t="s">
        <v>174</v>
      </c>
      <c r="J27" s="8">
        <v>24</v>
      </c>
      <c r="K27" s="8"/>
      <c r="L27" s="8"/>
      <c r="M27" s="8"/>
      <c r="N27" s="8"/>
      <c r="O27" s="8"/>
      <c r="P27" s="8"/>
      <c r="Q27" s="7" t="s">
        <v>96</v>
      </c>
      <c r="R27" s="7" t="s">
        <v>64</v>
      </c>
      <c r="S27" s="9">
        <v>45498</v>
      </c>
      <c r="T27" s="9" t="s">
        <v>66</v>
      </c>
      <c r="U27" s="9" t="s">
        <v>169</v>
      </c>
      <c r="V27" s="9">
        <v>45546</v>
      </c>
      <c r="W27" s="9">
        <v>45560</v>
      </c>
      <c r="X27" s="9">
        <v>45561</v>
      </c>
      <c r="Y27" s="9">
        <v>45568</v>
      </c>
      <c r="Z27" s="9">
        <v>45579</v>
      </c>
      <c r="AA27" s="9">
        <v>45583</v>
      </c>
      <c r="AB27" s="7">
        <v>25</v>
      </c>
      <c r="AC27" s="7">
        <v>1</v>
      </c>
      <c r="AD27" s="9">
        <v>41933</v>
      </c>
      <c r="AE27" s="9">
        <v>45587</v>
      </c>
      <c r="AF27" s="9">
        <v>45597</v>
      </c>
      <c r="AG27" s="7" t="s">
        <v>78</v>
      </c>
      <c r="AH27" s="9">
        <v>45586</v>
      </c>
      <c r="AI27" s="12"/>
      <c r="AJ27" s="9"/>
      <c r="AK27" s="9"/>
      <c r="AL27" s="9"/>
      <c r="AM27" s="12">
        <v>0</v>
      </c>
      <c r="AN27" s="12">
        <v>24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/>
      <c r="AV27" s="12">
        <v>0</v>
      </c>
      <c r="AW27" s="12">
        <v>0</v>
      </c>
      <c r="AX27" s="12">
        <v>0</v>
      </c>
      <c r="AY27" s="12">
        <v>0</v>
      </c>
      <c r="AZ27" s="14">
        <v>0</v>
      </c>
      <c r="BA27" s="14">
        <v>1</v>
      </c>
      <c r="BB27" s="14">
        <v>0</v>
      </c>
      <c r="BC27" s="13">
        <v>0</v>
      </c>
    </row>
    <row r="28" spans="1:55" ht="15.4" customHeight="1">
      <c r="A28" s="7" t="s">
        <v>90</v>
      </c>
      <c r="B28" s="8" t="s">
        <v>163</v>
      </c>
      <c r="C28" s="8" t="s">
        <v>164</v>
      </c>
      <c r="D28" s="7" t="s">
        <v>165</v>
      </c>
      <c r="E28" s="7" t="s">
        <v>83</v>
      </c>
      <c r="F28" s="7" t="s">
        <v>60</v>
      </c>
      <c r="G28" s="7" t="s">
        <v>61</v>
      </c>
      <c r="H28" s="7" t="s">
        <v>166</v>
      </c>
      <c r="I28" s="7" t="s">
        <v>175</v>
      </c>
      <c r="J28" s="8">
        <v>24</v>
      </c>
      <c r="K28" s="8"/>
      <c r="L28" s="8"/>
      <c r="M28" s="8"/>
      <c r="N28" s="8"/>
      <c r="O28" s="8"/>
      <c r="P28" s="8"/>
      <c r="Q28" s="7" t="s">
        <v>96</v>
      </c>
      <c r="R28" s="7" t="s">
        <v>64</v>
      </c>
      <c r="S28" s="9">
        <v>45498</v>
      </c>
      <c r="T28" s="9" t="s">
        <v>66</v>
      </c>
      <c r="U28" s="9" t="s">
        <v>169</v>
      </c>
      <c r="V28" s="9">
        <v>45546</v>
      </c>
      <c r="W28" s="9">
        <v>45560</v>
      </c>
      <c r="X28" s="9">
        <v>45561</v>
      </c>
      <c r="Y28" s="9">
        <v>45568</v>
      </c>
      <c r="Z28" s="9">
        <v>45579</v>
      </c>
      <c r="AA28" s="9">
        <v>45583</v>
      </c>
      <c r="AB28" s="7">
        <v>25</v>
      </c>
      <c r="AC28" s="7">
        <v>1</v>
      </c>
      <c r="AD28" s="9">
        <v>41933</v>
      </c>
      <c r="AE28" s="9">
        <v>45587</v>
      </c>
      <c r="AF28" s="9">
        <v>45597</v>
      </c>
      <c r="AG28" s="7" t="s">
        <v>78</v>
      </c>
      <c r="AH28" s="9">
        <v>45586</v>
      </c>
      <c r="AI28" s="12" t="s">
        <v>69</v>
      </c>
      <c r="AJ28" s="9"/>
      <c r="AK28" s="9"/>
      <c r="AL28" s="9"/>
      <c r="AM28" s="12">
        <v>0</v>
      </c>
      <c r="AN28" s="12">
        <v>24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/>
      <c r="AV28" s="12">
        <v>0</v>
      </c>
      <c r="AW28" s="12">
        <v>0</v>
      </c>
      <c r="AX28" s="12">
        <v>0</v>
      </c>
      <c r="AY28" s="12">
        <v>0</v>
      </c>
      <c r="AZ28" s="14">
        <v>0</v>
      </c>
      <c r="BA28" s="14">
        <v>1</v>
      </c>
      <c r="BB28" s="14">
        <v>0</v>
      </c>
      <c r="BC28" s="13">
        <v>0</v>
      </c>
    </row>
    <row r="29" spans="1:55" ht="15.4" customHeight="1">
      <c r="A29" s="7" t="s">
        <v>90</v>
      </c>
      <c r="B29" s="8" t="s">
        <v>163</v>
      </c>
      <c r="C29" s="8" t="s">
        <v>164</v>
      </c>
      <c r="D29" s="7" t="s">
        <v>165</v>
      </c>
      <c r="E29" s="7" t="s">
        <v>83</v>
      </c>
      <c r="F29" s="7" t="s">
        <v>60</v>
      </c>
      <c r="G29" s="7" t="s">
        <v>61</v>
      </c>
      <c r="H29" s="7" t="s">
        <v>166</v>
      </c>
      <c r="I29" s="7" t="s">
        <v>176</v>
      </c>
      <c r="J29" s="8">
        <v>22</v>
      </c>
      <c r="K29" s="8"/>
      <c r="L29" s="8"/>
      <c r="M29" s="8"/>
      <c r="N29" s="8"/>
      <c r="O29" s="8"/>
      <c r="P29" s="8"/>
      <c r="Q29" s="7" t="s">
        <v>96</v>
      </c>
      <c r="R29" s="7" t="s">
        <v>64</v>
      </c>
      <c r="S29" s="9">
        <v>45498</v>
      </c>
      <c r="T29" s="9" t="s">
        <v>66</v>
      </c>
      <c r="U29" s="9" t="s">
        <v>169</v>
      </c>
      <c r="V29" s="9">
        <v>45546</v>
      </c>
      <c r="W29" s="9">
        <v>45560</v>
      </c>
      <c r="X29" s="9">
        <v>45561</v>
      </c>
      <c r="Y29" s="9">
        <v>45568</v>
      </c>
      <c r="Z29" s="9">
        <v>45579</v>
      </c>
      <c r="AA29" s="9">
        <v>45583</v>
      </c>
      <c r="AB29" s="7">
        <v>25</v>
      </c>
      <c r="AC29" s="7">
        <v>1</v>
      </c>
      <c r="AD29" s="9">
        <v>41933</v>
      </c>
      <c r="AE29" s="9">
        <v>45587</v>
      </c>
      <c r="AF29" s="9">
        <v>45597</v>
      </c>
      <c r="AG29" s="7" t="s">
        <v>78</v>
      </c>
      <c r="AH29" s="9">
        <v>45586</v>
      </c>
      <c r="AI29" s="12" t="s">
        <v>69</v>
      </c>
      <c r="AJ29" s="9"/>
      <c r="AK29" s="9"/>
      <c r="AL29" s="9"/>
      <c r="AM29" s="12">
        <v>0</v>
      </c>
      <c r="AN29" s="12">
        <v>24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/>
      <c r="AV29" s="12">
        <v>0</v>
      </c>
      <c r="AW29" s="12">
        <v>0</v>
      </c>
      <c r="AX29" s="12">
        <v>0</v>
      </c>
      <c r="AY29" s="12">
        <v>0</v>
      </c>
      <c r="AZ29" s="14">
        <v>0</v>
      </c>
      <c r="BA29" s="14">
        <v>1</v>
      </c>
      <c r="BB29" s="14">
        <v>0</v>
      </c>
      <c r="BC29" s="13">
        <v>0</v>
      </c>
    </row>
    <row r="30" spans="1:55" ht="15.4" customHeight="1">
      <c r="A30" s="7" t="s">
        <v>90</v>
      </c>
      <c r="B30" s="8" t="s">
        <v>163</v>
      </c>
      <c r="C30" s="8" t="s">
        <v>164</v>
      </c>
      <c r="D30" s="7" t="s">
        <v>165</v>
      </c>
      <c r="E30" s="7" t="s">
        <v>83</v>
      </c>
      <c r="F30" s="7" t="s">
        <v>60</v>
      </c>
      <c r="G30" s="7" t="s">
        <v>61</v>
      </c>
      <c r="H30" s="7" t="s">
        <v>166</v>
      </c>
      <c r="I30" s="7" t="s">
        <v>177</v>
      </c>
      <c r="J30" s="8">
        <v>24</v>
      </c>
      <c r="K30" s="8"/>
      <c r="L30" s="8"/>
      <c r="M30" s="8"/>
      <c r="N30" s="8"/>
      <c r="O30" s="8"/>
      <c r="P30" s="8"/>
      <c r="Q30" s="7" t="s">
        <v>96</v>
      </c>
      <c r="R30" s="7" t="s">
        <v>64</v>
      </c>
      <c r="S30" s="9">
        <v>45498</v>
      </c>
      <c r="T30" s="9" t="s">
        <v>66</v>
      </c>
      <c r="U30" s="9" t="s">
        <v>169</v>
      </c>
      <c r="V30" s="9">
        <v>45546</v>
      </c>
      <c r="W30" s="9">
        <v>45560</v>
      </c>
      <c r="X30" s="9">
        <v>45561</v>
      </c>
      <c r="Y30" s="9">
        <v>45568</v>
      </c>
      <c r="Z30" s="9">
        <v>45579</v>
      </c>
      <c r="AA30" s="9">
        <v>45583</v>
      </c>
      <c r="AB30" s="7">
        <v>25</v>
      </c>
      <c r="AC30" s="7">
        <v>1</v>
      </c>
      <c r="AD30" s="9">
        <v>41933</v>
      </c>
      <c r="AE30" s="9">
        <v>45587</v>
      </c>
      <c r="AF30" s="9">
        <v>45597</v>
      </c>
      <c r="AG30" s="7" t="s">
        <v>78</v>
      </c>
      <c r="AH30" s="9">
        <v>45586</v>
      </c>
      <c r="AI30" s="12" t="s">
        <v>69</v>
      </c>
      <c r="AJ30" s="9"/>
      <c r="AK30" s="9"/>
      <c r="AL30" s="9"/>
      <c r="AM30" s="12">
        <v>0</v>
      </c>
      <c r="AN30" s="12">
        <v>24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/>
      <c r="AV30" s="12">
        <v>0</v>
      </c>
      <c r="AW30" s="12">
        <v>0</v>
      </c>
      <c r="AX30" s="12">
        <v>0</v>
      </c>
      <c r="AY30" s="12">
        <v>0</v>
      </c>
      <c r="AZ30" s="14">
        <v>0</v>
      </c>
      <c r="BA30" s="14">
        <v>1</v>
      </c>
      <c r="BB30" s="14">
        <v>0</v>
      </c>
      <c r="BC30" s="13">
        <v>0</v>
      </c>
    </row>
    <row r="31" spans="1:55" ht="15.4" customHeight="1">
      <c r="A31" s="7" t="s">
        <v>90</v>
      </c>
      <c r="B31" s="8" t="s">
        <v>163</v>
      </c>
      <c r="C31" s="8" t="s">
        <v>164</v>
      </c>
      <c r="D31" s="7" t="s">
        <v>165</v>
      </c>
      <c r="E31" s="7" t="s">
        <v>83</v>
      </c>
      <c r="F31" s="7" t="s">
        <v>60</v>
      </c>
      <c r="G31" s="7" t="s">
        <v>61</v>
      </c>
      <c r="H31" s="7" t="s">
        <v>166</v>
      </c>
      <c r="I31" s="7" t="s">
        <v>178</v>
      </c>
      <c r="J31" s="8">
        <v>24</v>
      </c>
      <c r="K31" s="8"/>
      <c r="L31" s="8"/>
      <c r="M31" s="8"/>
      <c r="N31" s="8"/>
      <c r="O31" s="8"/>
      <c r="P31" s="8"/>
      <c r="Q31" s="7" t="s">
        <v>96</v>
      </c>
      <c r="R31" s="7" t="s">
        <v>64</v>
      </c>
      <c r="S31" s="9">
        <v>45498</v>
      </c>
      <c r="T31" s="9" t="s">
        <v>179</v>
      </c>
      <c r="U31" s="9" t="s">
        <v>169</v>
      </c>
      <c r="V31" s="9">
        <v>45546</v>
      </c>
      <c r="W31" s="9">
        <v>45560</v>
      </c>
      <c r="X31" s="9">
        <v>45561</v>
      </c>
      <c r="Y31" s="9">
        <v>45568</v>
      </c>
      <c r="Z31" s="9">
        <v>45579</v>
      </c>
      <c r="AA31" s="9">
        <v>45583</v>
      </c>
      <c r="AB31" s="7">
        <v>25</v>
      </c>
      <c r="AC31" s="7">
        <v>1</v>
      </c>
      <c r="AD31" s="9">
        <v>45583</v>
      </c>
      <c r="AE31" s="9">
        <v>45587</v>
      </c>
      <c r="AF31" s="9">
        <v>45597</v>
      </c>
      <c r="AG31" s="7" t="s">
        <v>78</v>
      </c>
      <c r="AH31" s="9">
        <v>45586</v>
      </c>
      <c r="AI31" s="12" t="s">
        <v>69</v>
      </c>
      <c r="AJ31" s="9"/>
      <c r="AK31" s="9"/>
      <c r="AL31" s="9"/>
      <c r="AM31" s="12">
        <v>0</v>
      </c>
      <c r="AN31" s="12">
        <v>24</v>
      </c>
      <c r="AO31" s="12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/>
      <c r="AV31" s="12">
        <v>0</v>
      </c>
      <c r="AW31" s="12">
        <v>0</v>
      </c>
      <c r="AX31" s="12">
        <v>0</v>
      </c>
      <c r="AY31" s="12">
        <v>0</v>
      </c>
      <c r="AZ31" s="14">
        <v>0</v>
      </c>
      <c r="BA31" s="14">
        <v>1</v>
      </c>
      <c r="BB31" s="14">
        <v>0</v>
      </c>
      <c r="BC31" s="13">
        <v>0</v>
      </c>
    </row>
    <row r="32" spans="1:55" ht="15.4" customHeight="1">
      <c r="A32" s="7" t="s">
        <v>90</v>
      </c>
      <c r="B32" s="8" t="s">
        <v>163</v>
      </c>
      <c r="C32" s="8" t="s">
        <v>164</v>
      </c>
      <c r="D32" s="7" t="s">
        <v>165</v>
      </c>
      <c r="E32" s="7" t="s">
        <v>83</v>
      </c>
      <c r="F32" s="7" t="s">
        <v>60</v>
      </c>
      <c r="G32" s="7" t="s">
        <v>61</v>
      </c>
      <c r="H32" s="7" t="s">
        <v>166</v>
      </c>
      <c r="I32" s="7" t="s">
        <v>180</v>
      </c>
      <c r="J32" s="8">
        <v>22</v>
      </c>
      <c r="K32" s="8"/>
      <c r="L32" s="8"/>
      <c r="M32" s="8"/>
      <c r="N32" s="8"/>
      <c r="O32" s="8"/>
      <c r="P32" s="8"/>
      <c r="Q32" s="7" t="s">
        <v>96</v>
      </c>
      <c r="R32" s="7" t="s">
        <v>64</v>
      </c>
      <c r="S32" s="9">
        <v>45498</v>
      </c>
      <c r="T32" s="9" t="s">
        <v>168</v>
      </c>
      <c r="U32" s="9" t="s">
        <v>169</v>
      </c>
      <c r="V32" s="9">
        <v>45546</v>
      </c>
      <c r="W32" s="9">
        <v>45560</v>
      </c>
      <c r="X32" s="9">
        <v>45561</v>
      </c>
      <c r="Y32" s="9">
        <v>45568</v>
      </c>
      <c r="Z32" s="9">
        <v>45579</v>
      </c>
      <c r="AA32" s="9">
        <v>45583</v>
      </c>
      <c r="AB32" s="7">
        <v>25</v>
      </c>
      <c r="AC32" s="7">
        <v>1</v>
      </c>
      <c r="AD32" s="9">
        <v>45583</v>
      </c>
      <c r="AE32" s="9">
        <v>45587</v>
      </c>
      <c r="AF32" s="9">
        <v>45597</v>
      </c>
      <c r="AG32" s="7" t="s">
        <v>78</v>
      </c>
      <c r="AH32" s="9">
        <v>45586</v>
      </c>
      <c r="AI32" s="12" t="s">
        <v>69</v>
      </c>
      <c r="AJ32" s="9"/>
      <c r="AK32" s="9"/>
      <c r="AL32" s="9"/>
      <c r="AM32" s="12">
        <v>0</v>
      </c>
      <c r="AN32" s="12">
        <v>24</v>
      </c>
      <c r="AO32" s="12">
        <v>0</v>
      </c>
      <c r="AP32" s="12">
        <v>0</v>
      </c>
      <c r="AQ32" s="12">
        <v>0</v>
      </c>
      <c r="AR32" s="12">
        <v>0</v>
      </c>
      <c r="AS32" s="12">
        <v>0</v>
      </c>
      <c r="AT32" s="12">
        <v>0</v>
      </c>
      <c r="AU32" s="12"/>
      <c r="AV32" s="12">
        <v>0</v>
      </c>
      <c r="AW32" s="12">
        <v>0</v>
      </c>
      <c r="AX32" s="12">
        <v>0</v>
      </c>
      <c r="AY32" s="12">
        <v>0</v>
      </c>
      <c r="AZ32" s="14">
        <v>0</v>
      </c>
      <c r="BA32" s="14">
        <v>1</v>
      </c>
      <c r="BB32" s="14">
        <v>0</v>
      </c>
      <c r="BC32" s="13">
        <v>0</v>
      </c>
    </row>
    <row r="33" spans="1:55" ht="15.4" customHeight="1">
      <c r="A33" s="7" t="s">
        <v>70</v>
      </c>
      <c r="B33" s="8" t="s">
        <v>149</v>
      </c>
      <c r="C33" s="7" t="s">
        <v>150</v>
      </c>
      <c r="D33" s="7" t="s">
        <v>181</v>
      </c>
      <c r="E33" s="7" t="s">
        <v>123</v>
      </c>
      <c r="F33" s="7" t="s">
        <v>60</v>
      </c>
      <c r="G33" s="9" t="s">
        <v>61</v>
      </c>
      <c r="H33" s="7" t="s">
        <v>182</v>
      </c>
      <c r="I33" s="7" t="s">
        <v>183</v>
      </c>
      <c r="J33" s="8">
        <v>34</v>
      </c>
      <c r="K33" s="8"/>
      <c r="L33" s="8"/>
      <c r="M33" s="8"/>
      <c r="N33" s="8"/>
      <c r="O33" s="8"/>
      <c r="P33" s="8"/>
      <c r="Q33" s="7">
        <v>1</v>
      </c>
      <c r="R33" s="7" t="s">
        <v>64</v>
      </c>
      <c r="S33" s="7"/>
      <c r="T33" s="9" t="s">
        <v>77</v>
      </c>
      <c r="U33" s="7" t="s">
        <v>77</v>
      </c>
      <c r="V33" s="9">
        <v>45546</v>
      </c>
      <c r="W33" s="9">
        <v>45566</v>
      </c>
      <c r="X33" s="9">
        <v>45566</v>
      </c>
      <c r="Y33" s="9">
        <v>45568</v>
      </c>
      <c r="Z33" s="9">
        <v>45580</v>
      </c>
      <c r="AA33" s="9">
        <v>45583</v>
      </c>
      <c r="AB33" s="7">
        <v>34</v>
      </c>
      <c r="AC33" s="7">
        <v>1</v>
      </c>
      <c r="AD33" s="9">
        <v>41933</v>
      </c>
      <c r="AE33" s="9">
        <v>45587</v>
      </c>
      <c r="AF33" s="9">
        <v>45597</v>
      </c>
      <c r="AG33" s="7" t="s">
        <v>78</v>
      </c>
      <c r="AH33" s="9">
        <v>45590</v>
      </c>
      <c r="AI33" s="15"/>
      <c r="AJ33" s="12"/>
      <c r="AK33" s="12"/>
      <c r="AL33" s="12"/>
      <c r="AM33" s="14">
        <v>0</v>
      </c>
      <c r="AN33" s="14">
        <v>2</v>
      </c>
      <c r="AO33" s="12">
        <v>0</v>
      </c>
      <c r="AP33" s="14">
        <v>1</v>
      </c>
      <c r="AQ33" s="14">
        <v>1</v>
      </c>
      <c r="AR33" s="14">
        <v>0</v>
      </c>
      <c r="AS33" s="14">
        <v>0</v>
      </c>
      <c r="AT33" s="14">
        <v>0</v>
      </c>
      <c r="AU33" s="14"/>
      <c r="AV33" s="14">
        <v>0</v>
      </c>
      <c r="AW33" s="14">
        <v>0</v>
      </c>
      <c r="AX33" s="14">
        <v>0</v>
      </c>
      <c r="AY33" s="14">
        <v>0</v>
      </c>
      <c r="AZ33" s="12">
        <v>0</v>
      </c>
      <c r="BA33" s="12">
        <v>0</v>
      </c>
      <c r="BB33" s="12">
        <v>0</v>
      </c>
      <c r="BC33" s="13">
        <v>0</v>
      </c>
    </row>
    <row r="34" spans="1:55" ht="15.4" customHeight="1">
      <c r="A34" s="7" t="s">
        <v>184</v>
      </c>
      <c r="B34" s="8" t="s">
        <v>81</v>
      </c>
      <c r="C34" s="7"/>
      <c r="D34" s="7" t="s">
        <v>82</v>
      </c>
      <c r="E34" s="7" t="s">
        <v>159</v>
      </c>
      <c r="F34" s="7" t="s">
        <v>60</v>
      </c>
      <c r="G34" s="9" t="s">
        <v>61</v>
      </c>
      <c r="H34" s="8" t="s">
        <v>185</v>
      </c>
      <c r="I34" s="7" t="s">
        <v>186</v>
      </c>
      <c r="J34" s="8">
        <v>12</v>
      </c>
      <c r="K34" s="8"/>
      <c r="L34" s="8"/>
      <c r="M34" s="8"/>
      <c r="N34" s="8"/>
      <c r="O34" s="8"/>
      <c r="P34" s="8"/>
      <c r="Q34" s="7" t="s">
        <v>87</v>
      </c>
      <c r="R34" s="7" t="s">
        <v>187</v>
      </c>
      <c r="S34" s="9">
        <v>45601</v>
      </c>
      <c r="T34" s="7" t="s">
        <v>66</v>
      </c>
      <c r="U34" s="7" t="s">
        <v>61</v>
      </c>
      <c r="V34" s="9">
        <v>45620</v>
      </c>
      <c r="W34" s="7" t="s">
        <v>89</v>
      </c>
      <c r="X34" s="7" t="s">
        <v>89</v>
      </c>
      <c r="Y34" s="7" t="s">
        <v>89</v>
      </c>
      <c r="Z34" s="7" t="s">
        <v>89</v>
      </c>
      <c r="AA34" s="9" t="s">
        <v>89</v>
      </c>
      <c r="AB34" s="7" t="s">
        <v>89</v>
      </c>
      <c r="AC34" s="7">
        <v>1</v>
      </c>
      <c r="AD34" s="9" t="s">
        <v>89</v>
      </c>
      <c r="AE34" s="9">
        <v>45636</v>
      </c>
      <c r="AF34" s="9">
        <v>45616</v>
      </c>
      <c r="AG34" s="7" t="s">
        <v>89</v>
      </c>
      <c r="AH34" s="25" t="s">
        <v>88</v>
      </c>
      <c r="AI34" s="12"/>
      <c r="AJ34" s="12"/>
      <c r="AK34" s="12"/>
      <c r="AL34" s="12"/>
      <c r="AM34" s="14">
        <v>0</v>
      </c>
      <c r="AN34" s="14">
        <v>12</v>
      </c>
      <c r="AO34" s="14">
        <v>0</v>
      </c>
      <c r="AP34" s="14">
        <v>0</v>
      </c>
      <c r="AQ34" s="14">
        <v>0</v>
      </c>
      <c r="AR34" s="14">
        <v>0</v>
      </c>
      <c r="AS34" s="14">
        <v>0</v>
      </c>
      <c r="AT34" s="14">
        <v>0</v>
      </c>
      <c r="AU34" s="14"/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0</v>
      </c>
      <c r="BB34" s="14">
        <v>0</v>
      </c>
      <c r="BC34" s="14">
        <v>0</v>
      </c>
    </row>
    <row r="35" spans="1:55" ht="15.4" customHeight="1">
      <c r="A35" s="7" t="s">
        <v>184</v>
      </c>
      <c r="B35" s="8"/>
      <c r="C35" s="7"/>
      <c r="D35" s="7" t="s">
        <v>82</v>
      </c>
      <c r="E35" s="7" t="s">
        <v>159</v>
      </c>
      <c r="F35" s="7" t="s">
        <v>60</v>
      </c>
      <c r="G35" s="9" t="s">
        <v>61</v>
      </c>
      <c r="H35" s="8" t="s">
        <v>185</v>
      </c>
      <c r="I35" s="7" t="s">
        <v>188</v>
      </c>
      <c r="J35" s="8">
        <v>4</v>
      </c>
      <c r="K35" s="8"/>
      <c r="L35" s="8"/>
      <c r="M35" s="8"/>
      <c r="N35" s="8"/>
      <c r="O35" s="8"/>
      <c r="P35" s="8"/>
      <c r="Q35" s="7" t="s">
        <v>87</v>
      </c>
      <c r="R35" s="7" t="s">
        <v>189</v>
      </c>
      <c r="S35" s="9">
        <v>45601</v>
      </c>
      <c r="T35" s="7" t="s">
        <v>190</v>
      </c>
      <c r="U35" s="7" t="s">
        <v>61</v>
      </c>
      <c r="V35" s="9">
        <v>45620</v>
      </c>
      <c r="W35" s="7"/>
      <c r="X35" s="7"/>
      <c r="Y35" s="7"/>
      <c r="Z35" s="7"/>
      <c r="AA35" s="9" t="s">
        <v>89</v>
      </c>
      <c r="AB35" s="7"/>
      <c r="AC35" s="7">
        <v>1</v>
      </c>
      <c r="AD35" s="9" t="s">
        <v>89</v>
      </c>
      <c r="AE35" s="9"/>
      <c r="AF35" s="9"/>
      <c r="AG35" s="7" t="s">
        <v>89</v>
      </c>
      <c r="AH35" s="25" t="s">
        <v>88</v>
      </c>
      <c r="AI35" s="12"/>
      <c r="AJ35" s="12"/>
      <c r="AK35" s="12"/>
      <c r="AL35" s="12"/>
      <c r="AM35" s="14">
        <v>0</v>
      </c>
      <c r="AN35" s="14">
        <v>4</v>
      </c>
      <c r="AO35" s="14">
        <v>0</v>
      </c>
      <c r="AP35" s="14">
        <v>0</v>
      </c>
      <c r="AQ35" s="14">
        <v>0</v>
      </c>
      <c r="AR35" s="14">
        <v>0</v>
      </c>
      <c r="AS35" s="14">
        <v>0</v>
      </c>
      <c r="AT35" s="14">
        <v>0</v>
      </c>
      <c r="AU35" s="14"/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0</v>
      </c>
      <c r="BB35" s="14">
        <v>0</v>
      </c>
      <c r="BC35" s="14">
        <v>0</v>
      </c>
    </row>
    <row r="36" spans="1:55" ht="15.4" customHeight="1">
      <c r="A36" s="7" t="s">
        <v>155</v>
      </c>
      <c r="B36" s="8" t="s">
        <v>191</v>
      </c>
      <c r="C36" s="8" t="s">
        <v>192</v>
      </c>
      <c r="D36" s="7" t="s">
        <v>193</v>
      </c>
      <c r="E36" s="7" t="s">
        <v>159</v>
      </c>
      <c r="F36" s="7" t="s">
        <v>60</v>
      </c>
      <c r="G36" s="7" t="s">
        <v>61</v>
      </c>
      <c r="H36" s="7" t="s">
        <v>194</v>
      </c>
      <c r="I36" s="7" t="s">
        <v>195</v>
      </c>
      <c r="J36" s="8">
        <v>15</v>
      </c>
      <c r="K36" s="8"/>
      <c r="L36" s="8"/>
      <c r="M36" s="8"/>
      <c r="N36" s="8"/>
      <c r="O36" s="8"/>
      <c r="P36" s="8"/>
      <c r="Q36" s="7">
        <v>1</v>
      </c>
      <c r="R36" s="7" t="s">
        <v>64</v>
      </c>
      <c r="S36" s="9">
        <v>45498</v>
      </c>
      <c r="T36" s="9" t="s">
        <v>88</v>
      </c>
      <c r="U36" s="7" t="s">
        <v>77</v>
      </c>
      <c r="V36" s="9">
        <v>45545</v>
      </c>
      <c r="W36" s="9">
        <v>45559</v>
      </c>
      <c r="X36" s="9">
        <v>45559</v>
      </c>
      <c r="Y36" s="9">
        <v>45565</v>
      </c>
      <c r="Z36" s="9">
        <v>45579</v>
      </c>
      <c r="AA36" s="9">
        <v>45579</v>
      </c>
      <c r="AB36" s="7">
        <v>16</v>
      </c>
      <c r="AC36" s="7">
        <v>1</v>
      </c>
      <c r="AD36" s="9">
        <v>41933</v>
      </c>
      <c r="AE36" s="9">
        <v>45587</v>
      </c>
      <c r="AF36" s="9">
        <v>45597</v>
      </c>
      <c r="AG36" s="7" t="s">
        <v>78</v>
      </c>
      <c r="AH36" s="9">
        <v>45600</v>
      </c>
      <c r="AI36" s="12"/>
      <c r="AJ36" s="12"/>
      <c r="AK36" s="12"/>
      <c r="AL36" s="12"/>
      <c r="AM36" s="14">
        <v>0</v>
      </c>
      <c r="AN36" s="14">
        <v>15</v>
      </c>
      <c r="AO36" s="12">
        <v>0</v>
      </c>
      <c r="AP36" s="14">
        <v>1</v>
      </c>
      <c r="AQ36" s="14">
        <v>1</v>
      </c>
      <c r="AR36" s="14">
        <v>0</v>
      </c>
      <c r="AS36" s="14">
        <v>0</v>
      </c>
      <c r="AT36" s="14">
        <v>0</v>
      </c>
      <c r="AU36" s="14"/>
      <c r="AV36" s="14">
        <v>0</v>
      </c>
      <c r="AW36" s="14">
        <v>0</v>
      </c>
      <c r="AX36" s="14">
        <v>0</v>
      </c>
      <c r="AY36" s="14">
        <v>0</v>
      </c>
      <c r="AZ36" s="12">
        <v>0</v>
      </c>
      <c r="BA36" s="12">
        <v>0</v>
      </c>
      <c r="BB36" s="12">
        <v>0</v>
      </c>
      <c r="BC36" s="12">
        <v>0</v>
      </c>
    </row>
    <row r="37" spans="1:55" ht="15.4" customHeight="1">
      <c r="A37" s="7" t="s">
        <v>184</v>
      </c>
      <c r="B37" s="8" t="s">
        <v>81</v>
      </c>
      <c r="C37" s="7"/>
      <c r="D37" s="7" t="s">
        <v>82</v>
      </c>
      <c r="E37" s="7" t="s">
        <v>123</v>
      </c>
      <c r="F37" s="7" t="s">
        <v>60</v>
      </c>
      <c r="G37" s="9" t="s">
        <v>61</v>
      </c>
      <c r="H37" s="7" t="s">
        <v>196</v>
      </c>
      <c r="I37" s="7" t="s">
        <v>197</v>
      </c>
      <c r="J37" s="8">
        <v>14</v>
      </c>
      <c r="K37" s="8"/>
      <c r="L37" s="8"/>
      <c r="M37" s="8"/>
      <c r="N37" s="8"/>
      <c r="O37" s="8"/>
      <c r="P37" s="8"/>
      <c r="Q37" s="7" t="s">
        <v>87</v>
      </c>
      <c r="R37" s="7" t="s">
        <v>187</v>
      </c>
      <c r="S37" s="9">
        <v>45601</v>
      </c>
      <c r="T37" s="7" t="s">
        <v>88</v>
      </c>
      <c r="U37" s="7" t="s">
        <v>77</v>
      </c>
      <c r="V37" s="9">
        <v>45621</v>
      </c>
      <c r="W37" s="7" t="s">
        <v>89</v>
      </c>
      <c r="X37" s="7" t="s">
        <v>89</v>
      </c>
      <c r="Y37" s="7" t="s">
        <v>89</v>
      </c>
      <c r="Z37" s="7" t="s">
        <v>89</v>
      </c>
      <c r="AA37" s="9" t="s">
        <v>89</v>
      </c>
      <c r="AB37" s="7" t="s">
        <v>89</v>
      </c>
      <c r="AC37" s="7">
        <v>1</v>
      </c>
      <c r="AD37" s="9" t="s">
        <v>89</v>
      </c>
      <c r="AE37" s="9">
        <v>45636</v>
      </c>
      <c r="AF37" s="9">
        <v>45616</v>
      </c>
      <c r="AG37" s="7" t="s">
        <v>89</v>
      </c>
      <c r="AH37" s="26">
        <v>45644</v>
      </c>
      <c r="AI37" s="12"/>
      <c r="AJ37" s="12"/>
      <c r="AK37" s="12"/>
      <c r="AL37" s="12"/>
      <c r="AM37" s="14">
        <v>0</v>
      </c>
      <c r="AN37" s="14">
        <v>14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/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0</v>
      </c>
      <c r="BB37" s="14">
        <v>0</v>
      </c>
      <c r="BC37" s="12">
        <v>0</v>
      </c>
    </row>
    <row r="38" spans="1:55" ht="15.4" customHeight="1">
      <c r="A38" s="7" t="s">
        <v>184</v>
      </c>
      <c r="B38" s="8" t="s">
        <v>81</v>
      </c>
      <c r="C38" s="7"/>
      <c r="D38" s="7" t="s">
        <v>82</v>
      </c>
      <c r="E38" s="7" t="s">
        <v>74</v>
      </c>
      <c r="F38" s="7" t="s">
        <v>60</v>
      </c>
      <c r="G38" s="7" t="s">
        <v>61</v>
      </c>
      <c r="H38" s="7" t="s">
        <v>198</v>
      </c>
      <c r="I38" s="7" t="s">
        <v>199</v>
      </c>
      <c r="J38" s="8" t="s">
        <v>200</v>
      </c>
      <c r="K38" s="8"/>
      <c r="L38" s="8"/>
      <c r="M38" s="8"/>
      <c r="N38" s="8"/>
      <c r="O38" s="8"/>
      <c r="P38" s="8"/>
      <c r="Q38" s="7" t="s">
        <v>87</v>
      </c>
      <c r="R38" s="7" t="s">
        <v>187</v>
      </c>
      <c r="S38" s="9">
        <v>45601</v>
      </c>
      <c r="T38" s="7" t="s">
        <v>88</v>
      </c>
      <c r="U38" s="7" t="s">
        <v>77</v>
      </c>
      <c r="V38" s="9">
        <v>45621</v>
      </c>
      <c r="W38" s="7"/>
      <c r="X38" s="7"/>
      <c r="Y38" s="7"/>
      <c r="Z38" s="7"/>
      <c r="AA38" s="9" t="s">
        <v>89</v>
      </c>
      <c r="AB38" s="7"/>
      <c r="AC38" s="7">
        <v>1</v>
      </c>
      <c r="AD38" s="9" t="s">
        <v>89</v>
      </c>
      <c r="AE38" s="9"/>
      <c r="AF38" s="9"/>
      <c r="AG38" s="7" t="s">
        <v>89</v>
      </c>
      <c r="AH38" s="25" t="s">
        <v>88</v>
      </c>
      <c r="AI38" s="12"/>
      <c r="AJ38" s="12"/>
      <c r="AK38" s="12"/>
      <c r="AL38" s="12"/>
      <c r="AM38" s="14">
        <v>0</v>
      </c>
      <c r="AN38" s="14">
        <v>4</v>
      </c>
      <c r="AO38" s="14">
        <v>0</v>
      </c>
      <c r="AP38" s="14">
        <v>0</v>
      </c>
      <c r="AQ38" s="14">
        <v>0</v>
      </c>
      <c r="AR38" s="14">
        <v>0</v>
      </c>
      <c r="AS38" s="14">
        <v>0</v>
      </c>
      <c r="AT38" s="14">
        <v>0</v>
      </c>
      <c r="AU38" s="14"/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0</v>
      </c>
      <c r="BB38" s="14">
        <v>0</v>
      </c>
      <c r="BC38" s="14">
        <v>0</v>
      </c>
    </row>
    <row r="39" spans="1:55" ht="15.4" customHeight="1">
      <c r="A39" s="7" t="s">
        <v>184</v>
      </c>
      <c r="B39" s="8" t="s">
        <v>81</v>
      </c>
      <c r="C39" s="7"/>
      <c r="D39" s="7" t="s">
        <v>82</v>
      </c>
      <c r="E39" s="7" t="s">
        <v>123</v>
      </c>
      <c r="F39" s="7" t="s">
        <v>60</v>
      </c>
      <c r="G39" s="7" t="s">
        <v>61</v>
      </c>
      <c r="H39" s="7" t="s">
        <v>201</v>
      </c>
      <c r="I39" s="7" t="s">
        <v>202</v>
      </c>
      <c r="J39" s="8" t="s">
        <v>200</v>
      </c>
      <c r="K39" s="8"/>
      <c r="L39" s="8"/>
      <c r="M39" s="8"/>
      <c r="N39" s="8"/>
      <c r="O39" s="8"/>
      <c r="P39" s="8"/>
      <c r="Q39" s="7" t="s">
        <v>87</v>
      </c>
      <c r="R39" s="7" t="s">
        <v>187</v>
      </c>
      <c r="S39" s="9">
        <v>45601</v>
      </c>
      <c r="T39" s="7" t="s">
        <v>88</v>
      </c>
      <c r="U39" s="7" t="s">
        <v>77</v>
      </c>
      <c r="V39" s="9">
        <v>45621</v>
      </c>
      <c r="W39" s="7"/>
      <c r="X39" s="7"/>
      <c r="Y39" s="7"/>
      <c r="Z39" s="7"/>
      <c r="AA39" s="9" t="s">
        <v>89</v>
      </c>
      <c r="AB39" s="7"/>
      <c r="AC39" s="7">
        <v>1</v>
      </c>
      <c r="AD39" s="9" t="s">
        <v>89</v>
      </c>
      <c r="AE39" s="9"/>
      <c r="AF39" s="9"/>
      <c r="AG39" s="7" t="s">
        <v>89</v>
      </c>
      <c r="AH39" s="25" t="s">
        <v>88</v>
      </c>
      <c r="AI39" s="12"/>
      <c r="AJ39" s="12"/>
      <c r="AK39" s="12"/>
      <c r="AL39" s="12"/>
      <c r="AM39" s="14">
        <v>0</v>
      </c>
      <c r="AN39" s="14">
        <v>4</v>
      </c>
      <c r="AO39" s="14">
        <v>0</v>
      </c>
      <c r="AP39" s="14">
        <v>0</v>
      </c>
      <c r="AQ39" s="14">
        <v>0</v>
      </c>
      <c r="AR39" s="14">
        <v>0</v>
      </c>
      <c r="AS39" s="14">
        <v>0</v>
      </c>
      <c r="AT39" s="14">
        <v>0</v>
      </c>
      <c r="AU39" s="14"/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0</v>
      </c>
      <c r="BB39" s="14">
        <v>0</v>
      </c>
      <c r="BC39" s="12">
        <v>0</v>
      </c>
    </row>
    <row r="40" spans="1:55">
      <c r="I40" s="5"/>
      <c r="AO40" s="11"/>
    </row>
    <row r="41" spans="1:55">
      <c r="A41" s="12" t="s">
        <v>184</v>
      </c>
      <c r="E41" s="12" t="s">
        <v>74</v>
      </c>
      <c r="F41" s="12" t="s">
        <v>60</v>
      </c>
      <c r="G41" s="7" t="s">
        <v>61</v>
      </c>
      <c r="H41" s="12" t="s">
        <v>203</v>
      </c>
      <c r="I41" s="12" t="s">
        <v>204</v>
      </c>
      <c r="J41" s="17"/>
      <c r="K41" s="17">
        <v>302</v>
      </c>
      <c r="L41" s="17">
        <v>154</v>
      </c>
      <c r="M41" s="17">
        <v>148</v>
      </c>
      <c r="N41" s="17">
        <v>9</v>
      </c>
      <c r="O41" s="17">
        <v>22</v>
      </c>
      <c r="P41" s="17">
        <v>1</v>
      </c>
      <c r="Q41" s="12">
        <v>1</v>
      </c>
      <c r="R41" s="12" t="s">
        <v>205</v>
      </c>
      <c r="S41" s="12"/>
      <c r="T41" s="12" t="s">
        <v>206</v>
      </c>
      <c r="U41" s="12" t="s">
        <v>89</v>
      </c>
      <c r="V41" s="12" t="s">
        <v>89</v>
      </c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 t="s">
        <v>77</v>
      </c>
      <c r="AK41" s="12" t="s">
        <v>77</v>
      </c>
      <c r="AL41" s="12" t="s">
        <v>77</v>
      </c>
      <c r="AM41" s="14">
        <v>283</v>
      </c>
      <c r="AN41" s="14">
        <v>315</v>
      </c>
      <c r="AO41" s="14">
        <v>5</v>
      </c>
      <c r="AP41" s="14">
        <v>18</v>
      </c>
      <c r="AQ41" s="14">
        <v>301</v>
      </c>
      <c r="AR41" s="14">
        <v>2</v>
      </c>
      <c r="AS41" s="14">
        <v>2</v>
      </c>
      <c r="AT41" s="14">
        <v>0</v>
      </c>
      <c r="AU41" s="14">
        <v>15</v>
      </c>
      <c r="AV41" s="14">
        <v>15</v>
      </c>
      <c r="AW41" s="14">
        <v>14</v>
      </c>
      <c r="AX41" s="14">
        <v>1</v>
      </c>
      <c r="AY41" s="14">
        <v>1</v>
      </c>
      <c r="AZ41" s="14">
        <v>9</v>
      </c>
      <c r="BA41" s="14">
        <v>9</v>
      </c>
      <c r="BB41" s="14">
        <v>1</v>
      </c>
      <c r="BC41" s="7">
        <v>8</v>
      </c>
    </row>
    <row r="42" spans="1:55">
      <c r="A42" s="12" t="s">
        <v>184</v>
      </c>
      <c r="E42" s="12" t="s">
        <v>159</v>
      </c>
      <c r="F42" s="12" t="s">
        <v>60</v>
      </c>
      <c r="G42" s="7" t="s">
        <v>61</v>
      </c>
      <c r="H42" s="12" t="s">
        <v>207</v>
      </c>
      <c r="I42" s="12" t="s">
        <v>208</v>
      </c>
      <c r="J42" s="17"/>
      <c r="K42" s="17">
        <v>271</v>
      </c>
      <c r="L42" s="17">
        <v>158</v>
      </c>
      <c r="M42" s="17">
        <v>113</v>
      </c>
      <c r="N42" s="17">
        <v>6</v>
      </c>
      <c r="O42" s="17">
        <v>8</v>
      </c>
      <c r="P42" s="17">
        <v>1</v>
      </c>
      <c r="Q42" s="12">
        <v>1</v>
      </c>
      <c r="R42" s="12" t="s">
        <v>205</v>
      </c>
      <c r="S42" s="12"/>
      <c r="T42" s="12" t="s">
        <v>206</v>
      </c>
      <c r="U42" s="15">
        <v>45757</v>
      </c>
      <c r="V42" s="15">
        <v>45719</v>
      </c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 t="s">
        <v>209</v>
      </c>
      <c r="AI42" s="12"/>
      <c r="AJ42" s="12" t="s">
        <v>77</v>
      </c>
      <c r="AK42" s="12" t="s">
        <v>77</v>
      </c>
      <c r="AL42" s="12" t="s">
        <v>77</v>
      </c>
      <c r="AM42" s="14">
        <v>264</v>
      </c>
      <c r="AN42" s="14">
        <v>294</v>
      </c>
      <c r="AO42" s="14">
        <v>5</v>
      </c>
      <c r="AP42" s="14">
        <v>17</v>
      </c>
      <c r="AQ42" s="14">
        <v>281</v>
      </c>
      <c r="AR42" s="14">
        <v>2</v>
      </c>
      <c r="AS42" s="14">
        <v>2</v>
      </c>
      <c r="AT42" s="14">
        <v>0</v>
      </c>
      <c r="AU42" s="14">
        <v>15</v>
      </c>
      <c r="AV42" s="14">
        <v>15</v>
      </c>
      <c r="AW42" s="14">
        <v>14</v>
      </c>
      <c r="AX42" s="14">
        <v>1</v>
      </c>
      <c r="AY42" s="14">
        <v>1</v>
      </c>
      <c r="AZ42" s="14">
        <v>6</v>
      </c>
      <c r="BA42" s="14">
        <v>6</v>
      </c>
      <c r="BB42" s="14">
        <v>0</v>
      </c>
      <c r="BC42" s="7">
        <v>8</v>
      </c>
    </row>
    <row r="43" spans="1:55">
      <c r="A43" s="12" t="s">
        <v>184</v>
      </c>
      <c r="E43" s="12" t="s">
        <v>123</v>
      </c>
      <c r="F43" s="12" t="s">
        <v>60</v>
      </c>
      <c r="G43" s="7" t="s">
        <v>61</v>
      </c>
      <c r="H43" s="12" t="s">
        <v>210</v>
      </c>
      <c r="I43" s="12" t="s">
        <v>211</v>
      </c>
      <c r="J43" s="17"/>
      <c r="K43" s="17">
        <v>251</v>
      </c>
      <c r="L43" s="17">
        <v>152</v>
      </c>
      <c r="M43" s="17">
        <v>99</v>
      </c>
      <c r="N43" s="17">
        <v>7</v>
      </c>
      <c r="O43" s="17">
        <v>18</v>
      </c>
      <c r="P43" s="17">
        <v>2</v>
      </c>
      <c r="Q43" s="12">
        <v>1</v>
      </c>
      <c r="R43" s="12" t="s">
        <v>205</v>
      </c>
      <c r="S43" s="12"/>
      <c r="T43" s="12" t="s">
        <v>206</v>
      </c>
      <c r="U43" s="12" t="s">
        <v>89</v>
      </c>
      <c r="V43" s="15">
        <v>45712</v>
      </c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 t="s">
        <v>212</v>
      </c>
      <c r="AI43" s="12"/>
      <c r="AJ43" s="12" t="s">
        <v>77</v>
      </c>
      <c r="AK43" s="12" t="s">
        <v>77</v>
      </c>
      <c r="AL43" s="12" t="s">
        <v>77</v>
      </c>
      <c r="AM43" s="14">
        <v>237</v>
      </c>
      <c r="AN43" s="14">
        <v>275</v>
      </c>
      <c r="AO43" s="14">
        <v>5</v>
      </c>
      <c r="AP43" s="14">
        <v>21</v>
      </c>
      <c r="AQ43" s="14">
        <v>279</v>
      </c>
      <c r="AR43" s="14">
        <v>2</v>
      </c>
      <c r="AS43" s="14">
        <v>2</v>
      </c>
      <c r="AT43" s="14">
        <v>0</v>
      </c>
      <c r="AU43" s="14">
        <v>15</v>
      </c>
      <c r="AV43" s="14">
        <v>15</v>
      </c>
      <c r="AW43" s="14">
        <v>0</v>
      </c>
      <c r="AX43" s="14">
        <v>0</v>
      </c>
      <c r="AY43" s="14">
        <v>0</v>
      </c>
      <c r="AZ43" s="14">
        <v>7</v>
      </c>
      <c r="BA43" s="14">
        <v>6</v>
      </c>
      <c r="BB43" s="14">
        <v>1</v>
      </c>
      <c r="BC43" s="7">
        <v>8</v>
      </c>
    </row>
    <row r="44" spans="1:55">
      <c r="A44" s="12" t="s">
        <v>184</v>
      </c>
      <c r="E44" s="12" t="s">
        <v>123</v>
      </c>
      <c r="F44" s="12" t="s">
        <v>60</v>
      </c>
      <c r="G44" s="7" t="s">
        <v>61</v>
      </c>
      <c r="H44" s="12" t="s">
        <v>213</v>
      </c>
      <c r="I44" s="12" t="s">
        <v>214</v>
      </c>
      <c r="J44" s="17"/>
      <c r="K44" s="17">
        <v>30</v>
      </c>
      <c r="L44" s="17">
        <v>0</v>
      </c>
      <c r="M44" s="17">
        <v>30</v>
      </c>
      <c r="N44" s="17">
        <v>1</v>
      </c>
      <c r="O44" s="17">
        <v>1</v>
      </c>
      <c r="P44" s="17">
        <v>0</v>
      </c>
      <c r="Q44" s="12">
        <v>1</v>
      </c>
      <c r="R44" s="12" t="s">
        <v>205</v>
      </c>
      <c r="S44" s="12"/>
      <c r="T44" s="12" t="s">
        <v>206</v>
      </c>
      <c r="U44" s="12" t="s">
        <v>89</v>
      </c>
      <c r="V44" s="15">
        <v>45712</v>
      </c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 t="s">
        <v>77</v>
      </c>
      <c r="AK44" s="12" t="s">
        <v>77</v>
      </c>
      <c r="AL44" s="12" t="s">
        <v>77</v>
      </c>
      <c r="AM44" s="14">
        <v>30</v>
      </c>
      <c r="AN44" s="14">
        <v>32</v>
      </c>
      <c r="AO44" s="14">
        <v>0</v>
      </c>
      <c r="AP44" s="14">
        <v>1</v>
      </c>
      <c r="AQ44" s="14">
        <v>31</v>
      </c>
      <c r="AR44" s="14">
        <v>0</v>
      </c>
      <c r="AS44" s="14">
        <v>1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1</v>
      </c>
      <c r="BA44" s="14">
        <v>1</v>
      </c>
      <c r="BB44" s="14">
        <v>0</v>
      </c>
      <c r="BC44" s="7">
        <v>1</v>
      </c>
    </row>
    <row r="45" spans="1:55">
      <c r="A45" s="12" t="s">
        <v>80</v>
      </c>
      <c r="E45" s="12" t="s">
        <v>215</v>
      </c>
      <c r="F45" s="12" t="s">
        <v>60</v>
      </c>
      <c r="G45" s="7" t="s">
        <v>61</v>
      </c>
      <c r="H45" s="12" t="s">
        <v>216</v>
      </c>
      <c r="I45" s="12" t="s">
        <v>217</v>
      </c>
      <c r="J45" s="17"/>
      <c r="K45" s="17" t="s">
        <v>218</v>
      </c>
      <c r="L45" s="17">
        <v>0</v>
      </c>
      <c r="M45" s="17">
        <v>104</v>
      </c>
      <c r="N45" s="17">
        <v>3</v>
      </c>
      <c r="O45" s="17">
        <v>3</v>
      </c>
      <c r="P45" s="17">
        <v>2</v>
      </c>
      <c r="Q45" s="12">
        <v>1</v>
      </c>
      <c r="R45" s="12" t="s">
        <v>205</v>
      </c>
      <c r="S45" s="12"/>
      <c r="T45" s="12" t="s">
        <v>206</v>
      </c>
      <c r="U45" s="12" t="s">
        <v>89</v>
      </c>
      <c r="V45" s="15">
        <v>45720</v>
      </c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5">
        <v>45757</v>
      </c>
      <c r="AI45" s="12"/>
      <c r="AJ45" s="12" t="s">
        <v>77</v>
      </c>
      <c r="AK45" s="12" t="s">
        <v>77</v>
      </c>
      <c r="AL45" s="12" t="s">
        <v>77</v>
      </c>
      <c r="AM45" s="14">
        <v>314</v>
      </c>
      <c r="AN45" s="14">
        <v>352</v>
      </c>
      <c r="AO45" s="14">
        <v>5</v>
      </c>
      <c r="AP45" s="14">
        <v>21</v>
      </c>
      <c r="AQ45" s="14">
        <v>356</v>
      </c>
      <c r="AR45" s="14">
        <v>2</v>
      </c>
      <c r="AS45" s="14">
        <v>2</v>
      </c>
      <c r="AT45" s="14">
        <v>0</v>
      </c>
      <c r="AU45" s="14">
        <v>15</v>
      </c>
      <c r="AV45" s="14">
        <v>15</v>
      </c>
      <c r="AW45" s="14">
        <v>14</v>
      </c>
      <c r="AX45" s="14">
        <v>1</v>
      </c>
      <c r="AY45" s="14">
        <v>1</v>
      </c>
      <c r="AZ45" s="14">
        <v>3</v>
      </c>
      <c r="BA45" s="14">
        <v>14</v>
      </c>
      <c r="BB45" s="14">
        <v>0</v>
      </c>
      <c r="BC45" s="7"/>
    </row>
    <row r="46" spans="1:55">
      <c r="A46" s="12" t="s">
        <v>219</v>
      </c>
      <c r="E46" s="12" t="s">
        <v>220</v>
      </c>
      <c r="F46" s="12" t="s">
        <v>60</v>
      </c>
      <c r="G46" s="7" t="s">
        <v>61</v>
      </c>
      <c r="H46" s="12" t="s">
        <v>221</v>
      </c>
      <c r="I46" s="12" t="s">
        <v>222</v>
      </c>
      <c r="J46" s="17"/>
      <c r="K46" s="17">
        <v>258</v>
      </c>
      <c r="L46" s="17">
        <v>144</v>
      </c>
      <c r="M46" s="17">
        <v>114</v>
      </c>
      <c r="N46" s="17">
        <v>5</v>
      </c>
      <c r="O46" s="17">
        <v>20</v>
      </c>
      <c r="P46" s="17">
        <v>1</v>
      </c>
      <c r="Q46" s="12">
        <v>1</v>
      </c>
      <c r="R46" s="12" t="s">
        <v>205</v>
      </c>
      <c r="S46" s="12"/>
      <c r="T46" s="12" t="s">
        <v>206</v>
      </c>
      <c r="U46" s="15">
        <v>45755</v>
      </c>
      <c r="V46" s="12" t="s">
        <v>223</v>
      </c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 t="s">
        <v>224</v>
      </c>
      <c r="AI46" s="12"/>
      <c r="AJ46" s="12" t="s">
        <v>77</v>
      </c>
      <c r="AK46" s="12" t="s">
        <v>77</v>
      </c>
      <c r="AL46" s="12" t="s">
        <v>77</v>
      </c>
      <c r="AM46" s="14">
        <v>258</v>
      </c>
      <c r="AN46" s="14">
        <v>280</v>
      </c>
      <c r="AO46" s="14">
        <v>5</v>
      </c>
      <c r="AP46" s="14">
        <v>13</v>
      </c>
      <c r="AQ46" s="14">
        <v>271</v>
      </c>
      <c r="AR46" s="14">
        <v>2</v>
      </c>
      <c r="AS46" s="14">
        <v>2</v>
      </c>
      <c r="AT46" s="14">
        <v>0</v>
      </c>
      <c r="AU46" s="14">
        <v>15</v>
      </c>
      <c r="AV46" s="14">
        <v>15</v>
      </c>
      <c r="AW46" s="14">
        <v>0</v>
      </c>
      <c r="AX46" s="14">
        <v>0</v>
      </c>
      <c r="AY46" s="14">
        <v>0</v>
      </c>
      <c r="AZ46" s="14">
        <v>6</v>
      </c>
      <c r="BA46" s="14">
        <v>5</v>
      </c>
      <c r="BB46" s="14">
        <v>0</v>
      </c>
      <c r="BC46" s="7"/>
    </row>
    <row r="47" spans="1:55">
      <c r="A47" s="12" t="s">
        <v>225</v>
      </c>
      <c r="B47" s="16"/>
      <c r="C47" s="12"/>
      <c r="D47" s="12"/>
      <c r="E47" s="12" t="s">
        <v>225</v>
      </c>
      <c r="F47" s="12" t="s">
        <v>60</v>
      </c>
      <c r="G47" s="12"/>
      <c r="H47" s="12"/>
      <c r="I47" s="12" t="s">
        <v>226</v>
      </c>
      <c r="J47" s="17"/>
      <c r="K47" s="17"/>
      <c r="L47" s="17"/>
      <c r="M47" s="17"/>
      <c r="N47" s="17"/>
      <c r="O47" s="17"/>
      <c r="P47" s="17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 t="s">
        <v>77</v>
      </c>
      <c r="AK47" s="12" t="s">
        <v>77</v>
      </c>
      <c r="AL47" s="12" t="s">
        <v>77</v>
      </c>
      <c r="AM47" s="14">
        <v>0</v>
      </c>
      <c r="AN47" s="14">
        <v>394</v>
      </c>
      <c r="AO47" s="14">
        <v>0</v>
      </c>
      <c r="AP47" s="14">
        <v>7</v>
      </c>
      <c r="AQ47" s="14">
        <v>8</v>
      </c>
      <c r="AR47" s="14">
        <v>0</v>
      </c>
      <c r="AS47" s="14">
        <v>0</v>
      </c>
      <c r="AT47" s="14">
        <v>0</v>
      </c>
      <c r="AU47" s="14"/>
      <c r="AV47" s="14"/>
      <c r="AW47" s="14"/>
      <c r="AX47" s="14"/>
      <c r="AY47" s="14"/>
      <c r="AZ47" s="14">
        <v>0</v>
      </c>
      <c r="BA47" s="14">
        <v>0</v>
      </c>
      <c r="BB47" s="14">
        <v>0</v>
      </c>
      <c r="BC47" s="7"/>
    </row>
    <row r="48" spans="1:55">
      <c r="AO48" s="11"/>
    </row>
    <row r="49" spans="1:55">
      <c r="H49" s="50" t="s">
        <v>227</v>
      </c>
      <c r="I49" s="20" t="s">
        <v>228</v>
      </c>
      <c r="AM49" s="21">
        <f t="shared" ref="AM49:AT49" si="0">SUM(AM41:AM47)</f>
        <v>1386</v>
      </c>
      <c r="AN49" s="21">
        <f t="shared" si="0"/>
        <v>1942</v>
      </c>
      <c r="AO49" s="21">
        <f t="shared" si="0"/>
        <v>25</v>
      </c>
      <c r="AP49" s="21">
        <f t="shared" si="0"/>
        <v>98</v>
      </c>
      <c r="AQ49" s="21">
        <f t="shared" si="0"/>
        <v>1527</v>
      </c>
      <c r="AR49" s="21">
        <f t="shared" si="0"/>
        <v>10</v>
      </c>
      <c r="AS49" s="21">
        <f t="shared" si="0"/>
        <v>11</v>
      </c>
      <c r="AT49" s="21">
        <f t="shared" si="0"/>
        <v>0</v>
      </c>
      <c r="AU49" s="21"/>
      <c r="AV49" s="21">
        <f t="shared" ref="AV49:BB49" si="1">SUM(AV41:AV47)</f>
        <v>75</v>
      </c>
      <c r="AW49" s="21">
        <f t="shared" si="1"/>
        <v>42</v>
      </c>
      <c r="AX49" s="21">
        <f t="shared" si="1"/>
        <v>3</v>
      </c>
      <c r="AY49" s="21">
        <f t="shared" si="1"/>
        <v>3</v>
      </c>
      <c r="AZ49" s="21">
        <f t="shared" si="1"/>
        <v>32</v>
      </c>
      <c r="BA49" s="21">
        <f t="shared" si="1"/>
        <v>41</v>
      </c>
      <c r="BB49" s="21">
        <f t="shared" si="1"/>
        <v>2</v>
      </c>
      <c r="BC49" s="21">
        <v>32</v>
      </c>
    </row>
    <row r="50" spans="1:55">
      <c r="H50" s="50"/>
      <c r="I50" t="s">
        <v>229</v>
      </c>
      <c r="AM50" s="14">
        <v>100</v>
      </c>
      <c r="AN50" s="14">
        <v>399</v>
      </c>
      <c r="AO50" s="14">
        <v>0</v>
      </c>
      <c r="AP50" s="14">
        <v>4</v>
      </c>
      <c r="AQ50" s="14">
        <v>3</v>
      </c>
      <c r="AR50" s="14">
        <v>14</v>
      </c>
      <c r="AS50" s="14">
        <v>14</v>
      </c>
      <c r="AT50" s="14">
        <v>0</v>
      </c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0</v>
      </c>
      <c r="BB50" s="14">
        <v>0</v>
      </c>
      <c r="BC50" s="14">
        <v>0</v>
      </c>
    </row>
    <row r="51" spans="1:55">
      <c r="H51" s="50"/>
      <c r="I51" s="18" t="s">
        <v>230</v>
      </c>
      <c r="AM51" s="19">
        <f>SUM(AM49-AM50)</f>
        <v>1286</v>
      </c>
      <c r="AN51" s="19">
        <f>SUM(AN49-AN50)</f>
        <v>1543</v>
      </c>
      <c r="AO51" s="19">
        <f>SUM(AO49-AO50)</f>
        <v>25</v>
      </c>
      <c r="AP51" s="19">
        <f>SUM(AP49-AP50)</f>
        <v>94</v>
      </c>
      <c r="AQ51" s="19">
        <f t="shared" ref="AQ51:BC51" si="2">SUM(AQ49-AQ50)</f>
        <v>1524</v>
      </c>
      <c r="AR51" s="19">
        <f t="shared" si="2"/>
        <v>-4</v>
      </c>
      <c r="AS51" s="19">
        <f t="shared" si="2"/>
        <v>-3</v>
      </c>
      <c r="AT51" s="19">
        <v>7</v>
      </c>
      <c r="AU51" s="19"/>
      <c r="AV51" s="19">
        <f t="shared" si="2"/>
        <v>75</v>
      </c>
      <c r="AW51" s="19">
        <v>0</v>
      </c>
      <c r="AX51" s="19">
        <v>0</v>
      </c>
      <c r="AY51" s="19">
        <v>0</v>
      </c>
      <c r="AZ51" s="19">
        <f t="shared" si="2"/>
        <v>32</v>
      </c>
      <c r="BA51" s="19">
        <f t="shared" si="2"/>
        <v>41</v>
      </c>
      <c r="BB51" s="19">
        <f t="shared" si="2"/>
        <v>2</v>
      </c>
      <c r="BC51" s="19">
        <f t="shared" si="2"/>
        <v>32</v>
      </c>
    </row>
    <row r="53" spans="1:55">
      <c r="A53" s="12" t="s">
        <v>184</v>
      </c>
      <c r="E53" s="12" t="s">
        <v>74</v>
      </c>
      <c r="F53" s="12" t="s">
        <v>231</v>
      </c>
      <c r="G53" s="7"/>
      <c r="H53" s="27" t="s">
        <v>203</v>
      </c>
      <c r="I53" s="12" t="s">
        <v>204</v>
      </c>
      <c r="J53" s="17"/>
      <c r="K53" s="17">
        <v>302</v>
      </c>
      <c r="L53" s="17">
        <v>154</v>
      </c>
      <c r="M53" s="17">
        <v>148</v>
      </c>
      <c r="N53" s="17">
        <v>9</v>
      </c>
      <c r="O53" s="17">
        <v>22</v>
      </c>
      <c r="P53" s="17">
        <v>1</v>
      </c>
      <c r="Q53" s="12">
        <v>1</v>
      </c>
      <c r="R53" s="12" t="s">
        <v>205</v>
      </c>
      <c r="S53" s="12"/>
      <c r="T53" s="12" t="s">
        <v>206</v>
      </c>
      <c r="U53" s="12" t="s">
        <v>89</v>
      </c>
      <c r="V53" s="12" t="s">
        <v>89</v>
      </c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 t="s">
        <v>77</v>
      </c>
      <c r="AK53" s="12" t="s">
        <v>77</v>
      </c>
      <c r="AL53" s="12" t="s">
        <v>77</v>
      </c>
      <c r="AM53" s="14">
        <v>178</v>
      </c>
      <c r="AN53" s="14">
        <v>206</v>
      </c>
      <c r="AO53" s="14">
        <v>0</v>
      </c>
      <c r="AP53" s="14">
        <v>11</v>
      </c>
      <c r="AQ53" s="14">
        <v>192</v>
      </c>
      <c r="AR53" s="14">
        <v>0</v>
      </c>
      <c r="AS53" s="14">
        <v>0</v>
      </c>
      <c r="AT53" s="14">
        <v>0</v>
      </c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3</v>
      </c>
      <c r="BA53" s="14">
        <v>3</v>
      </c>
      <c r="BB53" s="14">
        <v>0</v>
      </c>
      <c r="BC53" s="7">
        <v>5</v>
      </c>
    </row>
    <row r="54" spans="1:55">
      <c r="A54" s="12" t="s">
        <v>184</v>
      </c>
      <c r="E54" s="12" t="s">
        <v>159</v>
      </c>
      <c r="F54" s="12" t="s">
        <v>231</v>
      </c>
      <c r="G54" s="7"/>
      <c r="H54" s="27" t="s">
        <v>207</v>
      </c>
      <c r="I54" s="12" t="s">
        <v>208</v>
      </c>
      <c r="J54" s="17"/>
      <c r="K54" s="17">
        <v>271</v>
      </c>
      <c r="L54" s="17">
        <v>158</v>
      </c>
      <c r="M54" s="17">
        <v>113</v>
      </c>
      <c r="N54" s="17">
        <v>6</v>
      </c>
      <c r="O54" s="17">
        <v>8</v>
      </c>
      <c r="P54" s="17">
        <v>1</v>
      </c>
      <c r="Q54" s="12">
        <v>1</v>
      </c>
      <c r="R54" s="12" t="s">
        <v>205</v>
      </c>
      <c r="S54" s="12"/>
      <c r="T54" s="12" t="s">
        <v>206</v>
      </c>
      <c r="U54" s="15">
        <v>45757</v>
      </c>
      <c r="V54" s="15">
        <v>45719</v>
      </c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 t="s">
        <v>209</v>
      </c>
      <c r="AI54" s="12"/>
      <c r="AJ54" s="12" t="s">
        <v>77</v>
      </c>
      <c r="AK54" s="12" t="s">
        <v>77</v>
      </c>
      <c r="AL54" s="12" t="s">
        <v>77</v>
      </c>
      <c r="AM54" s="14">
        <v>184</v>
      </c>
      <c r="AN54" s="14">
        <v>196</v>
      </c>
      <c r="AO54" s="14">
        <v>0</v>
      </c>
      <c r="AP54" s="14">
        <v>9</v>
      </c>
      <c r="AQ54" s="14">
        <v>193</v>
      </c>
      <c r="AR54" s="14">
        <v>0</v>
      </c>
      <c r="AS54" s="14">
        <v>2</v>
      </c>
      <c r="AT54" s="14">
        <v>0</v>
      </c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2</v>
      </c>
      <c r="BA54" s="14">
        <v>2</v>
      </c>
      <c r="BB54" s="14">
        <v>0</v>
      </c>
      <c r="BC54" s="7">
        <v>6</v>
      </c>
    </row>
    <row r="55" spans="1:55">
      <c r="A55" s="12" t="s">
        <v>184</v>
      </c>
      <c r="E55" s="12" t="s">
        <v>123</v>
      </c>
      <c r="F55" s="12" t="s">
        <v>232</v>
      </c>
      <c r="G55" s="7"/>
      <c r="H55" s="27" t="s">
        <v>210</v>
      </c>
      <c r="I55" s="12" t="s">
        <v>211</v>
      </c>
      <c r="J55" s="17"/>
      <c r="K55" s="17">
        <v>251</v>
      </c>
      <c r="L55" s="17">
        <v>152</v>
      </c>
      <c r="M55" s="17">
        <v>99</v>
      </c>
      <c r="N55" s="17">
        <v>7</v>
      </c>
      <c r="O55" s="17">
        <v>18</v>
      </c>
      <c r="P55" s="17">
        <v>2</v>
      </c>
      <c r="Q55" s="12">
        <v>1</v>
      </c>
      <c r="R55" s="12" t="s">
        <v>205</v>
      </c>
      <c r="S55" s="12"/>
      <c r="T55" s="12" t="s">
        <v>206</v>
      </c>
      <c r="U55" s="12" t="s">
        <v>89</v>
      </c>
      <c r="V55" s="15">
        <v>45712</v>
      </c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 t="s">
        <v>212</v>
      </c>
      <c r="AI55" s="12"/>
      <c r="AJ55" s="12" t="s">
        <v>77</v>
      </c>
      <c r="AK55" s="12" t="s">
        <v>77</v>
      </c>
      <c r="AL55" s="12" t="s">
        <v>77</v>
      </c>
      <c r="AM55" s="14">
        <v>236</v>
      </c>
      <c r="AN55" s="14">
        <v>256</v>
      </c>
      <c r="AO55" s="14">
        <v>0</v>
      </c>
      <c r="AP55" s="14">
        <v>24</v>
      </c>
      <c r="AQ55" s="14">
        <v>260</v>
      </c>
      <c r="AR55" s="14">
        <v>2</v>
      </c>
      <c r="AS55" s="14">
        <v>2</v>
      </c>
      <c r="AT55" s="14">
        <v>0</v>
      </c>
      <c r="AU55" s="14">
        <v>15</v>
      </c>
      <c r="AV55" s="14">
        <v>15</v>
      </c>
      <c r="AW55" s="14">
        <v>0</v>
      </c>
      <c r="AX55" s="14">
        <v>0</v>
      </c>
      <c r="AY55" s="14">
        <v>0</v>
      </c>
      <c r="AZ55" s="14">
        <v>7</v>
      </c>
      <c r="BA55" s="14">
        <v>6</v>
      </c>
      <c r="BB55" s="14">
        <v>1</v>
      </c>
      <c r="BC55" s="7">
        <v>8</v>
      </c>
    </row>
    <row r="56" spans="1:55">
      <c r="A56" s="12" t="s">
        <v>184</v>
      </c>
      <c r="E56" s="12" t="s">
        <v>123</v>
      </c>
      <c r="F56" s="12" t="s">
        <v>232</v>
      </c>
      <c r="G56" s="7"/>
      <c r="H56" s="27" t="s">
        <v>213</v>
      </c>
      <c r="I56" s="12" t="s">
        <v>214</v>
      </c>
      <c r="J56" s="17"/>
      <c r="K56" s="17">
        <v>30</v>
      </c>
      <c r="L56" s="17">
        <v>0</v>
      </c>
      <c r="M56" s="17">
        <v>30</v>
      </c>
      <c r="N56" s="17">
        <v>1</v>
      </c>
      <c r="O56" s="17">
        <v>1</v>
      </c>
      <c r="P56" s="17">
        <v>0</v>
      </c>
      <c r="Q56" s="12">
        <v>1</v>
      </c>
      <c r="R56" s="12" t="s">
        <v>205</v>
      </c>
      <c r="S56" s="12"/>
      <c r="T56" s="12" t="s">
        <v>206</v>
      </c>
      <c r="U56" s="12" t="s">
        <v>89</v>
      </c>
      <c r="V56" s="15">
        <v>45712</v>
      </c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 t="s">
        <v>77</v>
      </c>
      <c r="AK56" s="12" t="s">
        <v>77</v>
      </c>
      <c r="AL56" s="12" t="s">
        <v>77</v>
      </c>
      <c r="AM56" s="14">
        <v>30</v>
      </c>
      <c r="AN56" s="14">
        <v>32</v>
      </c>
      <c r="AO56" s="14">
        <v>0</v>
      </c>
      <c r="AP56" s="14">
        <v>1</v>
      </c>
      <c r="AQ56" s="14">
        <v>31</v>
      </c>
      <c r="AR56" s="14">
        <v>0</v>
      </c>
      <c r="AS56" s="14">
        <v>1</v>
      </c>
      <c r="AT56" s="14">
        <v>0</v>
      </c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0</v>
      </c>
      <c r="BB56" s="14">
        <v>0</v>
      </c>
      <c r="BC56" s="7">
        <v>1</v>
      </c>
    </row>
    <row r="58" spans="1:55">
      <c r="H58" s="51" t="s">
        <v>227</v>
      </c>
      <c r="I58" s="20" t="s">
        <v>228</v>
      </c>
      <c r="AM58" s="21">
        <f t="shared" ref="AM58:BC58" si="3">SUM(AM53:AM56)</f>
        <v>628</v>
      </c>
      <c r="AN58" s="21">
        <f t="shared" si="3"/>
        <v>690</v>
      </c>
      <c r="AO58" s="21">
        <f t="shared" si="3"/>
        <v>0</v>
      </c>
      <c r="AP58" s="21">
        <f t="shared" si="3"/>
        <v>45</v>
      </c>
      <c r="AQ58" s="21">
        <f t="shared" si="3"/>
        <v>676</v>
      </c>
      <c r="AR58" s="21">
        <f t="shared" si="3"/>
        <v>2</v>
      </c>
      <c r="AS58" s="21">
        <f t="shared" si="3"/>
        <v>5</v>
      </c>
      <c r="AT58" s="21">
        <f t="shared" si="3"/>
        <v>0</v>
      </c>
      <c r="AU58" s="21">
        <f t="shared" si="3"/>
        <v>15</v>
      </c>
      <c r="AV58" s="21">
        <f t="shared" si="3"/>
        <v>15</v>
      </c>
      <c r="AW58" s="21">
        <f t="shared" si="3"/>
        <v>0</v>
      </c>
      <c r="AX58" s="21">
        <f t="shared" si="3"/>
        <v>0</v>
      </c>
      <c r="AY58" s="21">
        <f t="shared" si="3"/>
        <v>0</v>
      </c>
      <c r="AZ58" s="21">
        <f t="shared" si="3"/>
        <v>12</v>
      </c>
      <c r="BA58" s="21">
        <f t="shared" si="3"/>
        <v>11</v>
      </c>
      <c r="BB58" s="21">
        <f t="shared" si="3"/>
        <v>1</v>
      </c>
      <c r="BC58" s="21">
        <f t="shared" si="3"/>
        <v>20</v>
      </c>
    </row>
    <row r="59" spans="1:55">
      <c r="H59" s="51"/>
      <c r="I59" t="s">
        <v>229</v>
      </c>
      <c r="AM59" s="14">
        <v>100</v>
      </c>
      <c r="AN59" s="14">
        <v>399</v>
      </c>
      <c r="AO59" s="14">
        <v>0</v>
      </c>
      <c r="AP59" s="14">
        <v>4</v>
      </c>
      <c r="AQ59" s="14">
        <v>3</v>
      </c>
      <c r="AR59" s="14">
        <v>14</v>
      </c>
      <c r="AS59" s="14">
        <v>14</v>
      </c>
      <c r="AT59" s="14">
        <v>0</v>
      </c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0</v>
      </c>
      <c r="BB59" s="14">
        <v>0</v>
      </c>
      <c r="BC59" s="14">
        <v>0</v>
      </c>
    </row>
    <row r="60" spans="1:55">
      <c r="H60" s="51"/>
      <c r="I60" s="28" t="s">
        <v>233</v>
      </c>
      <c r="AM60" s="19">
        <v>260</v>
      </c>
      <c r="AN60" s="19">
        <v>294</v>
      </c>
      <c r="AO60" s="19">
        <v>0</v>
      </c>
      <c r="AP60" s="19">
        <v>19</v>
      </c>
      <c r="AQ60" s="19">
        <v>279</v>
      </c>
      <c r="AR60" s="19">
        <v>2</v>
      </c>
      <c r="AS60" s="19">
        <v>2</v>
      </c>
      <c r="AT60" s="19">
        <v>0</v>
      </c>
      <c r="AU60" s="19">
        <v>20</v>
      </c>
      <c r="AV60" s="19">
        <v>20</v>
      </c>
      <c r="AW60" s="19">
        <v>20</v>
      </c>
      <c r="AX60" s="19">
        <v>1</v>
      </c>
      <c r="AY60" s="19">
        <v>1</v>
      </c>
      <c r="AZ60" s="19">
        <v>6</v>
      </c>
      <c r="BA60" s="19">
        <v>6</v>
      </c>
      <c r="BB60" s="19">
        <v>0</v>
      </c>
      <c r="BC60" s="19">
        <v>7</v>
      </c>
    </row>
    <row r="61" spans="1:55">
      <c r="H61" s="51"/>
      <c r="I61" s="28" t="s">
        <v>234</v>
      </c>
      <c r="AM61" s="19">
        <v>352</v>
      </c>
      <c r="AN61" s="19">
        <v>412</v>
      </c>
      <c r="AO61" s="19">
        <v>0</v>
      </c>
      <c r="AP61" s="19">
        <v>32</v>
      </c>
      <c r="AQ61" s="19">
        <v>384</v>
      </c>
      <c r="AR61" s="19">
        <v>2</v>
      </c>
      <c r="AS61" s="19">
        <v>2</v>
      </c>
      <c r="AT61" s="19">
        <v>0</v>
      </c>
      <c r="AU61" s="19">
        <v>18</v>
      </c>
      <c r="AV61" s="19">
        <v>18</v>
      </c>
      <c r="AW61" s="19">
        <v>18</v>
      </c>
      <c r="AX61" s="19">
        <v>1</v>
      </c>
      <c r="AY61" s="19">
        <v>1</v>
      </c>
      <c r="AZ61" s="19">
        <v>7</v>
      </c>
      <c r="BA61" s="19">
        <v>7</v>
      </c>
      <c r="BB61" s="19">
        <v>0</v>
      </c>
      <c r="BC61" s="19">
        <v>9</v>
      </c>
    </row>
    <row r="62" spans="1:55">
      <c r="I62" t="s">
        <v>230</v>
      </c>
    </row>
  </sheetData>
  <sheetProtection formatCells="0" formatColumns="0" formatRows="0" insertColumns="0" insertRows="0" insertHyperlinks="0" deleteColumns="0" deleteRows="0" sort="0" autoFilter="0"/>
  <autoFilter ref="A2:BC39" xr:uid="{66249CD7-F0C3-4D66-831B-03B6D5E8D2DA}"/>
  <mergeCells count="3">
    <mergeCell ref="AG1:AH1"/>
    <mergeCell ref="H49:H51"/>
    <mergeCell ref="H58:H61"/>
  </mergeCells>
  <printOptions headings="1"/>
  <pageMargins left="0.25" right="0.25" top="0.75" bottom="0.75" header="0.3" footer="0.3"/>
  <pageSetup paperSize="3" scale="85" fitToHeight="0" orientation="landscape" r:id="rId1"/>
  <headerFooter>
    <oddHeader>&amp;C&amp;A</oddHeader>
    <oddFooter>&amp;C&amp;P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0E61A-9187-4B9A-AE14-7FCEB46C0CCA}">
  <sheetPr>
    <pageSetUpPr fitToPage="1"/>
  </sheetPr>
  <dimension ref="A1:BH35"/>
  <sheetViews>
    <sheetView tabSelected="1" topLeftCell="G1" zoomScaleNormal="100" workbookViewId="0">
      <pane ySplit="2" topLeftCell="A3" activePane="bottomLeft" state="frozen"/>
      <selection pane="bottomLeft" activeCell="G16" sqref="G16"/>
    </sheetView>
  </sheetViews>
  <sheetFormatPr defaultRowHeight="14.45"/>
  <cols>
    <col min="1" max="1" width="19.42578125" customWidth="1"/>
    <col min="2" max="2" width="30.140625" style="3" hidden="1" customWidth="1"/>
    <col min="3" max="3" width="30.140625" hidden="1" customWidth="1"/>
    <col min="4" max="4" width="40.7109375" hidden="1" customWidth="1"/>
    <col min="5" max="7" width="14.42578125" customWidth="1"/>
    <col min="8" max="8" width="43.7109375" customWidth="1"/>
    <col min="9" max="9" width="50.140625" bestFit="1" customWidth="1"/>
    <col min="10" max="10" width="20.85546875" customWidth="1"/>
    <col min="11" max="11" width="14.7109375" customWidth="1"/>
    <col min="12" max="12" width="20.28515625" customWidth="1"/>
    <col min="13" max="13" width="3.7109375" style="4" customWidth="1"/>
    <col min="14" max="19" width="20.85546875" style="4" hidden="1" customWidth="1"/>
    <col min="20" max="20" width="15.28515625" hidden="1" customWidth="1"/>
    <col min="21" max="21" width="17.5703125" hidden="1" customWidth="1"/>
    <col min="22" max="22" width="14.140625" hidden="1" customWidth="1"/>
    <col min="23" max="23" width="21.42578125" hidden="1" customWidth="1"/>
    <col min="24" max="31" width="14.140625" hidden="1" customWidth="1"/>
    <col min="32" max="32" width="16.7109375" hidden="1" customWidth="1"/>
    <col min="33" max="37" width="14.140625" hidden="1" customWidth="1"/>
    <col min="38" max="38" width="68.85546875" hidden="1" customWidth="1"/>
    <col min="39" max="41" width="16" hidden="1" customWidth="1"/>
    <col min="42" max="42" width="9" style="11" customWidth="1"/>
    <col min="43" max="43" width="8.85546875" style="11" customWidth="1"/>
    <col min="44" max="44" width="8.85546875" customWidth="1"/>
    <col min="45" max="45" width="8.85546875" style="11" customWidth="1"/>
    <col min="46" max="46" width="11.5703125" style="11" customWidth="1"/>
    <col min="47" max="50" width="8.85546875" style="11" customWidth="1"/>
    <col min="51" max="51" width="10.85546875" style="11" customWidth="1"/>
    <col min="52" max="52" width="11.28515625" style="11" customWidth="1"/>
    <col min="53" max="54" width="8.85546875" style="11" customWidth="1"/>
    <col min="55" max="55" width="9.85546875" style="11" customWidth="1"/>
    <col min="56" max="58" width="11.28515625" style="11" customWidth="1"/>
    <col min="59" max="60" width="13" style="11" customWidth="1"/>
  </cols>
  <sheetData>
    <row r="1" spans="1:60" ht="54" customHeight="1">
      <c r="AJ1" s="49"/>
      <c r="AK1" s="49"/>
    </row>
    <row r="2" spans="1:60" ht="55.1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235</v>
      </c>
      <c r="K2" s="1" t="s">
        <v>236</v>
      </c>
      <c r="L2" s="1" t="s">
        <v>237</v>
      </c>
      <c r="M2" s="1"/>
      <c r="N2" s="1" t="s">
        <v>10</v>
      </c>
      <c r="O2" s="1" t="s">
        <v>11</v>
      </c>
      <c r="P2" s="1" t="s">
        <v>12</v>
      </c>
      <c r="Q2" s="1" t="s">
        <v>13</v>
      </c>
      <c r="R2" s="1" t="s">
        <v>14</v>
      </c>
      <c r="S2" s="1" t="s">
        <v>15</v>
      </c>
      <c r="T2" s="1" t="s">
        <v>16</v>
      </c>
      <c r="U2" s="1" t="s">
        <v>17</v>
      </c>
      <c r="V2" s="6" t="s">
        <v>18</v>
      </c>
      <c r="W2" s="6" t="s">
        <v>19</v>
      </c>
      <c r="X2" s="6" t="s">
        <v>20</v>
      </c>
      <c r="Y2" s="6" t="s">
        <v>21</v>
      </c>
      <c r="Z2" s="6" t="s">
        <v>22</v>
      </c>
      <c r="AA2" s="6" t="s">
        <v>23</v>
      </c>
      <c r="AB2" s="6" t="s">
        <v>24</v>
      </c>
      <c r="AC2" s="6" t="s">
        <v>25</v>
      </c>
      <c r="AD2" s="6" t="s">
        <v>26</v>
      </c>
      <c r="AE2" s="6" t="s">
        <v>27</v>
      </c>
      <c r="AF2" s="6" t="s">
        <v>28</v>
      </c>
      <c r="AG2" s="6" t="s">
        <v>29</v>
      </c>
      <c r="AH2" s="6" t="s">
        <v>30</v>
      </c>
      <c r="AI2" s="6" t="s">
        <v>31</v>
      </c>
      <c r="AJ2" s="6" t="s">
        <v>32</v>
      </c>
      <c r="AK2" s="6" t="s">
        <v>33</v>
      </c>
      <c r="AL2" s="1" t="s">
        <v>34</v>
      </c>
      <c r="AM2" s="1" t="s">
        <v>35</v>
      </c>
      <c r="AN2" s="1" t="s">
        <v>36</v>
      </c>
      <c r="AO2" s="1" t="s">
        <v>37</v>
      </c>
      <c r="AP2" s="1" t="s">
        <v>38</v>
      </c>
      <c r="AQ2" s="1" t="s">
        <v>39</v>
      </c>
      <c r="AR2" s="1" t="s">
        <v>40</v>
      </c>
      <c r="AS2" s="1" t="s">
        <v>41</v>
      </c>
      <c r="AT2" s="1" t="s">
        <v>42</v>
      </c>
      <c r="AU2" s="1" t="s">
        <v>43</v>
      </c>
      <c r="AV2" s="1" t="s">
        <v>44</v>
      </c>
      <c r="AW2" s="1" t="s">
        <v>45</v>
      </c>
      <c r="AX2" s="1" t="s">
        <v>46</v>
      </c>
      <c r="AY2" s="1" t="s">
        <v>47</v>
      </c>
      <c r="AZ2" s="1" t="s">
        <v>48</v>
      </c>
      <c r="BA2" s="1" t="s">
        <v>49</v>
      </c>
      <c r="BB2" s="1" t="s">
        <v>50</v>
      </c>
      <c r="BC2" s="1" t="s">
        <v>51</v>
      </c>
      <c r="BD2" s="1" t="s">
        <v>52</v>
      </c>
      <c r="BE2" s="1" t="s">
        <v>238</v>
      </c>
      <c r="BF2" s="1" t="s">
        <v>53</v>
      </c>
      <c r="BG2" s="1" t="s">
        <v>54</v>
      </c>
      <c r="BH2" s="1" t="s">
        <v>239</v>
      </c>
    </row>
    <row r="4" spans="1:60">
      <c r="A4" s="12" t="s">
        <v>184</v>
      </c>
      <c r="E4" s="12" t="s">
        <v>74</v>
      </c>
      <c r="F4" s="12" t="s">
        <v>231</v>
      </c>
      <c r="G4" s="7"/>
      <c r="H4" s="12" t="s">
        <v>203</v>
      </c>
      <c r="I4" s="12" t="s">
        <v>240</v>
      </c>
      <c r="J4" s="15">
        <v>45964</v>
      </c>
      <c r="K4" s="15"/>
      <c r="L4" s="15"/>
      <c r="M4" s="47"/>
      <c r="N4" s="17">
        <v>302</v>
      </c>
      <c r="O4" s="17">
        <v>154</v>
      </c>
      <c r="P4" s="17">
        <v>148</v>
      </c>
      <c r="Q4" s="17">
        <v>9</v>
      </c>
      <c r="R4" s="17">
        <v>22</v>
      </c>
      <c r="S4" s="17">
        <v>1</v>
      </c>
      <c r="T4" s="12">
        <v>1</v>
      </c>
      <c r="U4" s="12" t="s">
        <v>205</v>
      </c>
      <c r="V4" s="12"/>
      <c r="W4" s="12" t="s">
        <v>206</v>
      </c>
      <c r="X4" s="12" t="s">
        <v>89</v>
      </c>
      <c r="Y4" s="12" t="s">
        <v>89</v>
      </c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 t="s">
        <v>77</v>
      </c>
      <c r="AN4" s="12" t="s">
        <v>77</v>
      </c>
      <c r="AO4" s="12" t="s">
        <v>77</v>
      </c>
      <c r="AP4" s="14">
        <v>178</v>
      </c>
      <c r="AQ4" s="14">
        <v>206</v>
      </c>
      <c r="AR4" s="14">
        <v>0</v>
      </c>
      <c r="AS4" s="14">
        <v>11</v>
      </c>
      <c r="AT4" s="14">
        <v>192</v>
      </c>
      <c r="AU4" s="14">
        <v>0</v>
      </c>
      <c r="AV4" s="14">
        <v>0</v>
      </c>
      <c r="AW4" s="14">
        <v>0</v>
      </c>
      <c r="AX4" s="14">
        <v>0</v>
      </c>
      <c r="AY4" s="14">
        <v>0</v>
      </c>
      <c r="AZ4" s="14">
        <v>0</v>
      </c>
      <c r="BA4" s="14">
        <v>0</v>
      </c>
      <c r="BB4" s="14">
        <v>0</v>
      </c>
      <c r="BC4" s="14">
        <v>3</v>
      </c>
      <c r="BD4" s="14">
        <v>3</v>
      </c>
      <c r="BE4" s="14">
        <v>3</v>
      </c>
      <c r="BF4" s="14">
        <v>0</v>
      </c>
      <c r="BG4" s="14">
        <v>5</v>
      </c>
      <c r="BH4" s="14">
        <v>0</v>
      </c>
    </row>
    <row r="5" spans="1:60">
      <c r="A5" s="12" t="s">
        <v>184</v>
      </c>
      <c r="E5" s="12" t="s">
        <v>159</v>
      </c>
      <c r="F5" s="12" t="s">
        <v>231</v>
      </c>
      <c r="G5" s="7"/>
      <c r="H5" s="12" t="s">
        <v>207</v>
      </c>
      <c r="I5" s="12" t="s">
        <v>241</v>
      </c>
      <c r="J5" s="15">
        <v>45965</v>
      </c>
      <c r="K5" s="15"/>
      <c r="L5" s="15"/>
      <c r="M5" s="47"/>
      <c r="N5" s="17">
        <v>271</v>
      </c>
      <c r="O5" s="17">
        <v>158</v>
      </c>
      <c r="P5" s="17">
        <v>113</v>
      </c>
      <c r="Q5" s="17">
        <v>6</v>
      </c>
      <c r="R5" s="17">
        <v>8</v>
      </c>
      <c r="S5" s="17">
        <v>1</v>
      </c>
      <c r="T5" s="12">
        <v>1</v>
      </c>
      <c r="U5" s="12" t="s">
        <v>205</v>
      </c>
      <c r="V5" s="12"/>
      <c r="W5" s="12" t="s">
        <v>206</v>
      </c>
      <c r="X5" s="15">
        <v>45757</v>
      </c>
      <c r="Y5" s="15">
        <v>45719</v>
      </c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 t="s">
        <v>209</v>
      </c>
      <c r="AL5" s="12"/>
      <c r="AM5" s="12" t="s">
        <v>77</v>
      </c>
      <c r="AN5" s="12" t="s">
        <v>77</v>
      </c>
      <c r="AO5" s="12" t="s">
        <v>77</v>
      </c>
      <c r="AP5" s="14">
        <v>184</v>
      </c>
      <c r="AQ5" s="14">
        <v>196</v>
      </c>
      <c r="AR5" s="14">
        <v>0</v>
      </c>
      <c r="AS5" s="14">
        <v>9</v>
      </c>
      <c r="AT5" s="14">
        <v>193</v>
      </c>
      <c r="AU5" s="14">
        <v>0</v>
      </c>
      <c r="AV5" s="14">
        <v>2</v>
      </c>
      <c r="AW5" s="14">
        <v>0</v>
      </c>
      <c r="AX5" s="14">
        <v>0</v>
      </c>
      <c r="AY5" s="14">
        <v>0</v>
      </c>
      <c r="AZ5" s="14">
        <v>0</v>
      </c>
      <c r="BA5" s="14">
        <v>0</v>
      </c>
      <c r="BB5" s="14">
        <v>0</v>
      </c>
      <c r="BC5" s="14">
        <v>2</v>
      </c>
      <c r="BD5" s="14">
        <v>2</v>
      </c>
      <c r="BE5" s="14">
        <v>2</v>
      </c>
      <c r="BF5" s="14">
        <v>0</v>
      </c>
      <c r="BG5" s="14">
        <v>6</v>
      </c>
      <c r="BH5" s="14">
        <v>0</v>
      </c>
    </row>
    <row r="6" spans="1:60">
      <c r="A6" s="12" t="s">
        <v>184</v>
      </c>
      <c r="E6" s="12" t="s">
        <v>123</v>
      </c>
      <c r="F6" s="12" t="s">
        <v>232</v>
      </c>
      <c r="G6" s="7"/>
      <c r="H6" s="12" t="s">
        <v>210</v>
      </c>
      <c r="I6" s="12" t="s">
        <v>242</v>
      </c>
      <c r="J6" s="15">
        <v>45966</v>
      </c>
      <c r="K6" s="15"/>
      <c r="L6" s="15"/>
      <c r="M6" s="47"/>
      <c r="N6" s="17">
        <v>251</v>
      </c>
      <c r="O6" s="17">
        <v>152</v>
      </c>
      <c r="P6" s="17">
        <v>99</v>
      </c>
      <c r="Q6" s="17">
        <v>7</v>
      </c>
      <c r="R6" s="17">
        <v>18</v>
      </c>
      <c r="S6" s="17">
        <v>2</v>
      </c>
      <c r="T6" s="12">
        <v>1</v>
      </c>
      <c r="U6" s="12" t="s">
        <v>205</v>
      </c>
      <c r="V6" s="12"/>
      <c r="W6" s="12" t="s">
        <v>206</v>
      </c>
      <c r="X6" s="12" t="s">
        <v>89</v>
      </c>
      <c r="Y6" s="15">
        <v>45712</v>
      </c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 t="s">
        <v>212</v>
      </c>
      <c r="AL6" s="12"/>
      <c r="AM6" s="12" t="s">
        <v>77</v>
      </c>
      <c r="AN6" s="12" t="s">
        <v>77</v>
      </c>
      <c r="AO6" s="12" t="s">
        <v>77</v>
      </c>
      <c r="AP6" s="14">
        <v>236</v>
      </c>
      <c r="AQ6" s="14">
        <v>256</v>
      </c>
      <c r="AR6" s="14">
        <v>0</v>
      </c>
      <c r="AS6" s="14">
        <v>24</v>
      </c>
      <c r="AT6" s="14">
        <v>260</v>
      </c>
      <c r="AU6" s="14">
        <v>2</v>
      </c>
      <c r="AV6" s="14">
        <v>2</v>
      </c>
      <c r="AW6" s="14">
        <v>0</v>
      </c>
      <c r="AX6" s="14">
        <v>15</v>
      </c>
      <c r="AY6" s="14">
        <v>15</v>
      </c>
      <c r="AZ6" s="14">
        <v>0</v>
      </c>
      <c r="BA6" s="14">
        <v>0</v>
      </c>
      <c r="BB6" s="14">
        <v>0</v>
      </c>
      <c r="BC6" s="14">
        <v>8</v>
      </c>
      <c r="BD6" s="14">
        <v>8</v>
      </c>
      <c r="BE6" s="14">
        <v>2</v>
      </c>
      <c r="BF6" s="14">
        <v>1</v>
      </c>
      <c r="BG6" s="14">
        <v>8</v>
      </c>
      <c r="BH6" s="14">
        <v>0</v>
      </c>
    </row>
    <row r="7" spans="1:60">
      <c r="A7" s="12" t="s">
        <v>184</v>
      </c>
      <c r="E7" s="12" t="s">
        <v>123</v>
      </c>
      <c r="F7" s="12" t="s">
        <v>232</v>
      </c>
      <c r="G7" s="7"/>
      <c r="H7" s="12" t="s">
        <v>213</v>
      </c>
      <c r="I7" s="12" t="s">
        <v>243</v>
      </c>
      <c r="J7" s="15">
        <v>45966</v>
      </c>
      <c r="K7" s="15"/>
      <c r="L7" s="15"/>
      <c r="M7" s="47"/>
      <c r="N7" s="17">
        <v>30</v>
      </c>
      <c r="O7" s="17">
        <v>0</v>
      </c>
      <c r="P7" s="17">
        <v>30</v>
      </c>
      <c r="Q7" s="17">
        <v>1</v>
      </c>
      <c r="R7" s="17">
        <v>1</v>
      </c>
      <c r="S7" s="17">
        <v>0</v>
      </c>
      <c r="T7" s="12">
        <v>1</v>
      </c>
      <c r="U7" s="12" t="s">
        <v>205</v>
      </c>
      <c r="V7" s="12"/>
      <c r="W7" s="12" t="s">
        <v>206</v>
      </c>
      <c r="X7" s="12" t="s">
        <v>89</v>
      </c>
      <c r="Y7" s="15">
        <v>45712</v>
      </c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 t="s">
        <v>77</v>
      </c>
      <c r="AN7" s="12" t="s">
        <v>77</v>
      </c>
      <c r="AO7" s="12" t="s">
        <v>77</v>
      </c>
      <c r="AP7" s="14">
        <v>30</v>
      </c>
      <c r="AQ7" s="14">
        <v>32</v>
      </c>
      <c r="AR7" s="14">
        <v>0</v>
      </c>
      <c r="AS7" s="14">
        <v>1</v>
      </c>
      <c r="AT7" s="14">
        <v>31</v>
      </c>
      <c r="AU7" s="14">
        <v>0</v>
      </c>
      <c r="AV7" s="14">
        <v>1</v>
      </c>
      <c r="AW7" s="14">
        <v>0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4">
        <v>0</v>
      </c>
      <c r="BD7" s="14">
        <v>0</v>
      </c>
      <c r="BE7" s="14">
        <v>0</v>
      </c>
      <c r="BF7" s="14">
        <v>0</v>
      </c>
      <c r="BG7" s="14">
        <v>1</v>
      </c>
      <c r="BH7" s="14">
        <v>0</v>
      </c>
    </row>
    <row r="8" spans="1:60">
      <c r="H8" s="38"/>
      <c r="I8" s="34" t="s">
        <v>244</v>
      </c>
      <c r="J8" s="34"/>
      <c r="K8" s="34"/>
      <c r="L8" s="34"/>
      <c r="AP8" s="21">
        <f t="shared" ref="AP8:BH8" si="0">SUM(AP4:AP7)</f>
        <v>628</v>
      </c>
      <c r="AQ8" s="21">
        <f t="shared" si="0"/>
        <v>690</v>
      </c>
      <c r="AR8" s="21">
        <f t="shared" si="0"/>
        <v>0</v>
      </c>
      <c r="AS8" s="21">
        <f t="shared" si="0"/>
        <v>45</v>
      </c>
      <c r="AT8" s="21">
        <f t="shared" si="0"/>
        <v>676</v>
      </c>
      <c r="AU8" s="21">
        <f t="shared" si="0"/>
        <v>2</v>
      </c>
      <c r="AV8" s="21">
        <f t="shared" si="0"/>
        <v>5</v>
      </c>
      <c r="AW8" s="21">
        <f t="shared" si="0"/>
        <v>0</v>
      </c>
      <c r="AX8" s="21">
        <f t="shared" si="0"/>
        <v>15</v>
      </c>
      <c r="AY8" s="21">
        <f t="shared" si="0"/>
        <v>15</v>
      </c>
      <c r="AZ8" s="21">
        <f t="shared" si="0"/>
        <v>0</v>
      </c>
      <c r="BA8" s="21">
        <f t="shared" si="0"/>
        <v>0</v>
      </c>
      <c r="BB8" s="21">
        <f t="shared" si="0"/>
        <v>0</v>
      </c>
      <c r="BC8" s="21">
        <f t="shared" si="0"/>
        <v>13</v>
      </c>
      <c r="BD8" s="21">
        <f t="shared" si="0"/>
        <v>13</v>
      </c>
      <c r="BE8" s="21">
        <f t="shared" ref="BE8" si="1">SUM(BE4:BE7)</f>
        <v>7</v>
      </c>
      <c r="BF8" s="21">
        <f t="shared" si="0"/>
        <v>1</v>
      </c>
      <c r="BG8" s="21">
        <f t="shared" si="0"/>
        <v>20</v>
      </c>
      <c r="BH8" s="21">
        <f t="shared" si="0"/>
        <v>0</v>
      </c>
    </row>
    <row r="9" spans="1:60">
      <c r="H9" s="38"/>
      <c r="AR9" s="11"/>
    </row>
    <row r="10" spans="1:60">
      <c r="A10" s="12" t="s">
        <v>80</v>
      </c>
      <c r="E10" s="12" t="s">
        <v>245</v>
      </c>
      <c r="F10" s="12" t="s">
        <v>60</v>
      </c>
      <c r="G10" s="7" t="s">
        <v>61</v>
      </c>
      <c r="H10" s="12" t="s">
        <v>246</v>
      </c>
      <c r="I10" s="12" t="s">
        <v>247</v>
      </c>
      <c r="J10" s="15">
        <v>45958</v>
      </c>
      <c r="K10" s="15" t="s">
        <v>248</v>
      </c>
      <c r="L10" s="15" t="s">
        <v>249</v>
      </c>
      <c r="M10" s="47"/>
      <c r="N10" s="17">
        <v>302</v>
      </c>
      <c r="O10" s="17">
        <v>154</v>
      </c>
      <c r="P10" s="17">
        <v>148</v>
      </c>
      <c r="Q10" s="17">
        <v>9</v>
      </c>
      <c r="R10" s="17">
        <v>22</v>
      </c>
      <c r="S10" s="17">
        <v>1</v>
      </c>
      <c r="T10" s="12">
        <v>1</v>
      </c>
      <c r="U10" s="12" t="s">
        <v>205</v>
      </c>
      <c r="V10" s="12"/>
      <c r="W10" s="12" t="s">
        <v>206</v>
      </c>
      <c r="X10" s="12" t="s">
        <v>89</v>
      </c>
      <c r="Y10" s="12" t="s">
        <v>89</v>
      </c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 t="s">
        <v>77</v>
      </c>
      <c r="AN10" s="12" t="s">
        <v>77</v>
      </c>
      <c r="AO10" s="12" t="s">
        <v>77</v>
      </c>
      <c r="AP10" s="14">
        <v>9</v>
      </c>
      <c r="AQ10" s="14">
        <v>7</v>
      </c>
      <c r="AR10" s="14">
        <v>0</v>
      </c>
      <c r="AS10" s="14">
        <v>0</v>
      </c>
      <c r="AT10" s="14">
        <v>9</v>
      </c>
      <c r="AU10" s="14">
        <v>0</v>
      </c>
      <c r="AV10" s="14">
        <v>0</v>
      </c>
      <c r="AW10" s="14">
        <v>0</v>
      </c>
      <c r="AX10" s="14">
        <v>0</v>
      </c>
      <c r="AY10" s="14">
        <v>0</v>
      </c>
      <c r="AZ10" s="14">
        <v>0</v>
      </c>
      <c r="BA10" s="14">
        <v>0</v>
      </c>
      <c r="BB10" s="14">
        <v>0</v>
      </c>
      <c r="BC10" s="14">
        <v>0</v>
      </c>
      <c r="BD10" s="14">
        <v>0</v>
      </c>
      <c r="BE10" s="14">
        <v>0</v>
      </c>
      <c r="BF10" s="14">
        <v>0</v>
      </c>
      <c r="BG10" s="14">
        <v>1</v>
      </c>
      <c r="BH10" s="14">
        <v>2</v>
      </c>
    </row>
    <row r="11" spans="1:60">
      <c r="A11" s="12" t="s">
        <v>80</v>
      </c>
      <c r="E11" s="12" t="s">
        <v>245</v>
      </c>
      <c r="F11" s="12" t="s">
        <v>60</v>
      </c>
      <c r="G11" s="7" t="s">
        <v>61</v>
      </c>
      <c r="H11" s="12" t="s">
        <v>250</v>
      </c>
      <c r="I11" s="12" t="s">
        <v>251</v>
      </c>
      <c r="J11" s="15">
        <v>45958</v>
      </c>
      <c r="K11" s="15" t="s">
        <v>252</v>
      </c>
      <c r="L11" s="15" t="s">
        <v>253</v>
      </c>
      <c r="M11" s="47"/>
      <c r="N11" s="17">
        <v>271</v>
      </c>
      <c r="O11" s="17">
        <v>158</v>
      </c>
      <c r="P11" s="17">
        <v>113</v>
      </c>
      <c r="Q11" s="17">
        <v>6</v>
      </c>
      <c r="R11" s="17">
        <v>8</v>
      </c>
      <c r="S11" s="17">
        <v>1</v>
      </c>
      <c r="T11" s="12">
        <v>1</v>
      </c>
      <c r="U11" s="12" t="s">
        <v>205</v>
      </c>
      <c r="V11" s="12"/>
      <c r="W11" s="12" t="s">
        <v>206</v>
      </c>
      <c r="X11" s="15">
        <v>45757</v>
      </c>
      <c r="Y11" s="15">
        <v>45719</v>
      </c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 t="s">
        <v>209</v>
      </c>
      <c r="AL11" s="12"/>
      <c r="AM11" s="12" t="s">
        <v>77</v>
      </c>
      <c r="AN11" s="12" t="s">
        <v>77</v>
      </c>
      <c r="AO11" s="12" t="s">
        <v>77</v>
      </c>
      <c r="AP11" s="14">
        <v>8</v>
      </c>
      <c r="AQ11" s="14">
        <v>6</v>
      </c>
      <c r="AR11" s="14">
        <v>0</v>
      </c>
      <c r="AS11" s="14">
        <v>0</v>
      </c>
      <c r="AT11" s="14">
        <v>8</v>
      </c>
      <c r="AU11" s="14">
        <v>0</v>
      </c>
      <c r="AV11" s="14">
        <v>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v>0</v>
      </c>
      <c r="BD11" s="14">
        <v>0</v>
      </c>
      <c r="BE11" s="14">
        <v>0</v>
      </c>
      <c r="BF11" s="14">
        <v>0</v>
      </c>
      <c r="BG11" s="14">
        <v>1</v>
      </c>
      <c r="BH11" s="14">
        <v>2</v>
      </c>
    </row>
    <row r="12" spans="1:60">
      <c r="A12" s="12" t="s">
        <v>80</v>
      </c>
      <c r="E12" s="12" t="s">
        <v>215</v>
      </c>
      <c r="F12" s="12" t="s">
        <v>60</v>
      </c>
      <c r="G12" s="7" t="s">
        <v>61</v>
      </c>
      <c r="H12" s="12" t="s">
        <v>254</v>
      </c>
      <c r="I12" s="12" t="s">
        <v>255</v>
      </c>
      <c r="J12" s="15">
        <v>45959</v>
      </c>
      <c r="K12" s="15" t="s">
        <v>256</v>
      </c>
      <c r="L12" s="15" t="s">
        <v>253</v>
      </c>
      <c r="M12" s="47"/>
      <c r="N12" s="17">
        <v>251</v>
      </c>
      <c r="O12" s="17">
        <v>152</v>
      </c>
      <c r="P12" s="17">
        <v>99</v>
      </c>
      <c r="Q12" s="17">
        <v>7</v>
      </c>
      <c r="R12" s="17">
        <v>18</v>
      </c>
      <c r="S12" s="17">
        <v>2</v>
      </c>
      <c r="T12" s="12">
        <v>1</v>
      </c>
      <c r="U12" s="12" t="s">
        <v>205</v>
      </c>
      <c r="V12" s="12"/>
      <c r="W12" s="12" t="s">
        <v>206</v>
      </c>
      <c r="X12" s="12" t="s">
        <v>89</v>
      </c>
      <c r="Y12" s="15">
        <v>45712</v>
      </c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 t="s">
        <v>212</v>
      </c>
      <c r="AL12" s="12"/>
      <c r="AM12" s="12" t="s">
        <v>77</v>
      </c>
      <c r="AN12" s="12" t="s">
        <v>77</v>
      </c>
      <c r="AO12" s="12" t="s">
        <v>77</v>
      </c>
      <c r="AP12" s="14">
        <v>5</v>
      </c>
      <c r="AQ12" s="14">
        <v>4</v>
      </c>
      <c r="AR12" s="14">
        <v>0</v>
      </c>
      <c r="AS12" s="14">
        <v>0</v>
      </c>
      <c r="AT12" s="14">
        <v>5</v>
      </c>
      <c r="AU12" s="14">
        <v>0</v>
      </c>
      <c r="AV12" s="14">
        <v>0</v>
      </c>
      <c r="AW12" s="14">
        <v>0</v>
      </c>
      <c r="AX12" s="14">
        <v>0</v>
      </c>
      <c r="AY12" s="14">
        <v>0</v>
      </c>
      <c r="AZ12" s="14">
        <v>0</v>
      </c>
      <c r="BA12" s="14">
        <v>0</v>
      </c>
      <c r="BB12" s="14">
        <v>0</v>
      </c>
      <c r="BC12" s="14">
        <v>0</v>
      </c>
      <c r="BD12" s="14">
        <v>0</v>
      </c>
      <c r="BE12" s="14">
        <v>0</v>
      </c>
      <c r="BF12" s="14">
        <v>0</v>
      </c>
      <c r="BG12" s="14">
        <v>1</v>
      </c>
      <c r="BH12" s="14">
        <v>2</v>
      </c>
    </row>
    <row r="13" spans="1:60">
      <c r="A13" s="12" t="s">
        <v>80</v>
      </c>
      <c r="E13" s="12" t="s">
        <v>245</v>
      </c>
      <c r="F13" s="12" t="s">
        <v>60</v>
      </c>
      <c r="G13" s="7" t="s">
        <v>61</v>
      </c>
      <c r="H13" s="12" t="s">
        <v>257</v>
      </c>
      <c r="I13" s="12" t="s">
        <v>258</v>
      </c>
      <c r="J13" s="48" t="s">
        <v>77</v>
      </c>
      <c r="K13" s="15" t="s">
        <v>77</v>
      </c>
      <c r="L13" s="15" t="s">
        <v>77</v>
      </c>
      <c r="M13" s="47"/>
      <c r="N13" s="17">
        <v>302</v>
      </c>
      <c r="O13" s="17">
        <v>154</v>
      </c>
      <c r="P13" s="17">
        <v>148</v>
      </c>
      <c r="Q13" s="17">
        <v>9</v>
      </c>
      <c r="R13" s="17">
        <v>22</v>
      </c>
      <c r="S13" s="17">
        <v>1</v>
      </c>
      <c r="T13" s="12">
        <v>1</v>
      </c>
      <c r="U13" s="12" t="s">
        <v>205</v>
      </c>
      <c r="V13" s="12"/>
      <c r="W13" s="12" t="s">
        <v>206</v>
      </c>
      <c r="X13" s="12" t="s">
        <v>89</v>
      </c>
      <c r="Y13" s="12" t="s">
        <v>89</v>
      </c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 t="s">
        <v>77</v>
      </c>
      <c r="AN13" s="12" t="s">
        <v>77</v>
      </c>
      <c r="AO13" s="12" t="s">
        <v>77</v>
      </c>
      <c r="AP13" s="14">
        <v>0</v>
      </c>
      <c r="AQ13" s="14">
        <v>0</v>
      </c>
      <c r="AR13" s="14">
        <v>0</v>
      </c>
      <c r="AS13" s="14">
        <v>0</v>
      </c>
      <c r="AT13" s="14">
        <v>0</v>
      </c>
      <c r="AU13" s="14">
        <v>0</v>
      </c>
      <c r="AV13" s="14">
        <v>0</v>
      </c>
      <c r="AW13" s="14">
        <v>0</v>
      </c>
      <c r="AX13" s="14">
        <v>0</v>
      </c>
      <c r="AY13" s="14">
        <v>0</v>
      </c>
      <c r="AZ13" s="14">
        <v>0</v>
      </c>
      <c r="BA13" s="14">
        <v>0</v>
      </c>
      <c r="BB13" s="14">
        <v>0</v>
      </c>
      <c r="BC13" s="14">
        <v>0</v>
      </c>
      <c r="BD13" s="14">
        <v>0</v>
      </c>
      <c r="BE13" s="14">
        <v>0</v>
      </c>
      <c r="BF13" s="14">
        <v>0</v>
      </c>
      <c r="BG13" s="14">
        <v>1</v>
      </c>
      <c r="BH13" s="14">
        <v>2</v>
      </c>
    </row>
    <row r="14" spans="1:60">
      <c r="A14" s="12" t="s">
        <v>80</v>
      </c>
      <c r="E14" s="12" t="s">
        <v>215</v>
      </c>
      <c r="F14" s="12" t="s">
        <v>60</v>
      </c>
      <c r="G14" s="7" t="s">
        <v>61</v>
      </c>
      <c r="H14" s="12" t="s">
        <v>259</v>
      </c>
      <c r="I14" s="12" t="s">
        <v>260</v>
      </c>
      <c r="J14" s="15">
        <v>45954</v>
      </c>
      <c r="K14" s="15" t="s">
        <v>261</v>
      </c>
      <c r="L14" s="15" t="s">
        <v>262</v>
      </c>
      <c r="M14" s="47"/>
      <c r="N14" s="17">
        <v>271</v>
      </c>
      <c r="O14" s="17">
        <v>158</v>
      </c>
      <c r="P14" s="17">
        <v>113</v>
      </c>
      <c r="Q14" s="17">
        <v>6</v>
      </c>
      <c r="R14" s="17">
        <v>8</v>
      </c>
      <c r="S14" s="17">
        <v>1</v>
      </c>
      <c r="T14" s="12">
        <v>1</v>
      </c>
      <c r="U14" s="12" t="s">
        <v>205</v>
      </c>
      <c r="V14" s="12"/>
      <c r="W14" s="12" t="s">
        <v>206</v>
      </c>
      <c r="X14" s="15">
        <v>45757</v>
      </c>
      <c r="Y14" s="15">
        <v>45719</v>
      </c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 t="s">
        <v>209</v>
      </c>
      <c r="AL14" s="12"/>
      <c r="AM14" s="12" t="s">
        <v>77</v>
      </c>
      <c r="AN14" s="12" t="s">
        <v>77</v>
      </c>
      <c r="AO14" s="12" t="s">
        <v>77</v>
      </c>
      <c r="AP14" s="14">
        <v>5</v>
      </c>
      <c r="AQ14" s="14">
        <v>4</v>
      </c>
      <c r="AR14" s="14">
        <v>0</v>
      </c>
      <c r="AS14" s="14">
        <v>0</v>
      </c>
      <c r="AT14" s="14">
        <v>5</v>
      </c>
      <c r="AU14" s="14">
        <v>0</v>
      </c>
      <c r="AV14" s="14">
        <v>0</v>
      </c>
      <c r="AW14" s="14">
        <v>0</v>
      </c>
      <c r="AX14" s="14">
        <v>0</v>
      </c>
      <c r="AY14" s="14">
        <v>0</v>
      </c>
      <c r="AZ14" s="14">
        <v>0</v>
      </c>
      <c r="BA14" s="14">
        <v>0</v>
      </c>
      <c r="BB14" s="14">
        <v>0</v>
      </c>
      <c r="BC14" s="14">
        <v>0</v>
      </c>
      <c r="BD14" s="14">
        <v>0</v>
      </c>
      <c r="BE14" s="14">
        <v>0</v>
      </c>
      <c r="BF14" s="14">
        <v>0</v>
      </c>
      <c r="BG14" s="14">
        <v>1</v>
      </c>
      <c r="BH14" s="14">
        <v>2</v>
      </c>
    </row>
    <row r="15" spans="1:60">
      <c r="A15" s="12" t="s">
        <v>80</v>
      </c>
      <c r="E15" s="12" t="s">
        <v>215</v>
      </c>
      <c r="F15" s="12" t="s">
        <v>60</v>
      </c>
      <c r="G15" s="7" t="s">
        <v>61</v>
      </c>
      <c r="H15" s="12" t="s">
        <v>263</v>
      </c>
      <c r="I15" s="12" t="s">
        <v>264</v>
      </c>
      <c r="J15" s="15">
        <v>45958</v>
      </c>
      <c r="K15" s="15" t="s">
        <v>265</v>
      </c>
      <c r="L15" s="15" t="s">
        <v>253</v>
      </c>
      <c r="M15" s="47"/>
      <c r="N15" s="17">
        <v>302</v>
      </c>
      <c r="O15" s="17">
        <v>154</v>
      </c>
      <c r="P15" s="17">
        <v>148</v>
      </c>
      <c r="Q15" s="17">
        <v>9</v>
      </c>
      <c r="R15" s="17">
        <v>22</v>
      </c>
      <c r="S15" s="17">
        <v>1</v>
      </c>
      <c r="T15" s="12">
        <v>1</v>
      </c>
      <c r="U15" s="12" t="s">
        <v>205</v>
      </c>
      <c r="V15" s="12"/>
      <c r="W15" s="12" t="s">
        <v>206</v>
      </c>
      <c r="X15" s="12" t="s">
        <v>89</v>
      </c>
      <c r="Y15" s="12" t="s">
        <v>89</v>
      </c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 t="s">
        <v>77</v>
      </c>
      <c r="AN15" s="12" t="s">
        <v>77</v>
      </c>
      <c r="AO15" s="12" t="s">
        <v>77</v>
      </c>
      <c r="AP15" s="14">
        <v>10</v>
      </c>
      <c r="AQ15" s="14">
        <v>8</v>
      </c>
      <c r="AR15" s="14">
        <v>0</v>
      </c>
      <c r="AS15" s="14">
        <v>0</v>
      </c>
      <c r="AT15" s="14">
        <v>10</v>
      </c>
      <c r="AU15" s="14">
        <v>0</v>
      </c>
      <c r="AV15" s="14">
        <v>0</v>
      </c>
      <c r="AW15" s="14">
        <v>0</v>
      </c>
      <c r="AX15" s="14">
        <v>0</v>
      </c>
      <c r="AY15" s="14">
        <v>0</v>
      </c>
      <c r="AZ15" s="14">
        <v>0</v>
      </c>
      <c r="BA15" s="14">
        <v>0</v>
      </c>
      <c r="BB15" s="14">
        <v>0</v>
      </c>
      <c r="BC15" s="14">
        <v>0</v>
      </c>
      <c r="BD15" s="14">
        <v>0</v>
      </c>
      <c r="BE15" s="14">
        <v>0</v>
      </c>
      <c r="BF15" s="14">
        <v>0</v>
      </c>
      <c r="BG15" s="14">
        <v>1</v>
      </c>
      <c r="BH15" s="14">
        <v>2</v>
      </c>
    </row>
    <row r="16" spans="1:60">
      <c r="A16" s="12" t="s">
        <v>80</v>
      </c>
      <c r="E16" s="12" t="s">
        <v>215</v>
      </c>
      <c r="F16" s="12" t="s">
        <v>60</v>
      </c>
      <c r="G16" s="7"/>
      <c r="H16" s="12" t="s">
        <v>266</v>
      </c>
      <c r="I16" s="12" t="s">
        <v>267</v>
      </c>
      <c r="J16" s="15">
        <v>45961</v>
      </c>
      <c r="K16" s="15" t="s">
        <v>268</v>
      </c>
      <c r="L16" s="15" t="s">
        <v>253</v>
      </c>
      <c r="M16" s="47"/>
      <c r="N16" s="17">
        <v>271</v>
      </c>
      <c r="O16" s="17">
        <v>158</v>
      </c>
      <c r="P16" s="17">
        <v>113</v>
      </c>
      <c r="Q16" s="17">
        <v>6</v>
      </c>
      <c r="R16" s="17">
        <v>8</v>
      </c>
      <c r="S16" s="17">
        <v>1</v>
      </c>
      <c r="T16" s="12">
        <v>1</v>
      </c>
      <c r="U16" s="12" t="s">
        <v>205</v>
      </c>
      <c r="V16" s="12"/>
      <c r="W16" s="12" t="s">
        <v>206</v>
      </c>
      <c r="X16" s="15">
        <v>45757</v>
      </c>
      <c r="Y16" s="15">
        <v>45719</v>
      </c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 t="s">
        <v>209</v>
      </c>
      <c r="AL16" s="12"/>
      <c r="AM16" s="12" t="s">
        <v>77</v>
      </c>
      <c r="AN16" s="12" t="s">
        <v>77</v>
      </c>
      <c r="AO16" s="12" t="s">
        <v>77</v>
      </c>
      <c r="AP16" s="14">
        <v>10</v>
      </c>
      <c r="AQ16" s="14">
        <v>8</v>
      </c>
      <c r="AR16" s="14">
        <v>0</v>
      </c>
      <c r="AS16" s="14">
        <v>0</v>
      </c>
      <c r="AT16" s="14">
        <v>10</v>
      </c>
      <c r="AU16" s="14">
        <v>0</v>
      </c>
      <c r="AV16" s="14">
        <v>0</v>
      </c>
      <c r="AW16" s="14">
        <v>0</v>
      </c>
      <c r="AX16" s="14">
        <v>0</v>
      </c>
      <c r="AY16" s="14">
        <v>0</v>
      </c>
      <c r="AZ16" s="14">
        <v>0</v>
      </c>
      <c r="BA16" s="14">
        <v>0</v>
      </c>
      <c r="BB16" s="14">
        <v>0</v>
      </c>
      <c r="BC16" s="14">
        <v>0</v>
      </c>
      <c r="BD16" s="14">
        <v>0</v>
      </c>
      <c r="BE16" s="14">
        <v>0</v>
      </c>
      <c r="BF16" s="14">
        <v>0</v>
      </c>
      <c r="BG16" s="14">
        <v>1</v>
      </c>
      <c r="BH16" s="14">
        <v>2</v>
      </c>
    </row>
    <row r="17" spans="1:60">
      <c r="A17" s="12" t="s">
        <v>80</v>
      </c>
      <c r="E17" s="12" t="s">
        <v>215</v>
      </c>
      <c r="F17" s="12" t="s">
        <v>60</v>
      </c>
      <c r="G17" s="7" t="s">
        <v>61</v>
      </c>
      <c r="H17" s="12" t="s">
        <v>269</v>
      </c>
      <c r="I17" s="12" t="s">
        <v>270</v>
      </c>
      <c r="J17" s="15">
        <v>45954</v>
      </c>
      <c r="K17" s="15" t="s">
        <v>271</v>
      </c>
      <c r="L17" s="15" t="s">
        <v>272</v>
      </c>
      <c r="M17" s="47"/>
      <c r="N17" s="17">
        <v>251</v>
      </c>
      <c r="O17" s="17">
        <v>152</v>
      </c>
      <c r="P17" s="17">
        <v>99</v>
      </c>
      <c r="Q17" s="17">
        <v>7</v>
      </c>
      <c r="R17" s="17">
        <v>18</v>
      </c>
      <c r="S17" s="17">
        <v>2</v>
      </c>
      <c r="T17" s="12">
        <v>1</v>
      </c>
      <c r="U17" s="12" t="s">
        <v>205</v>
      </c>
      <c r="V17" s="12"/>
      <c r="W17" s="12" t="s">
        <v>206</v>
      </c>
      <c r="X17" s="12" t="s">
        <v>89</v>
      </c>
      <c r="Y17" s="15">
        <v>45712</v>
      </c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 t="s">
        <v>212</v>
      </c>
      <c r="AL17" s="12"/>
      <c r="AM17" s="12" t="s">
        <v>77</v>
      </c>
      <c r="AN17" s="12" t="s">
        <v>77</v>
      </c>
      <c r="AO17" s="12" t="s">
        <v>77</v>
      </c>
      <c r="AP17" s="14">
        <v>4</v>
      </c>
      <c r="AQ17" s="14">
        <v>2</v>
      </c>
      <c r="AR17" s="14">
        <v>0</v>
      </c>
      <c r="AS17" s="14">
        <v>0</v>
      </c>
      <c r="AT17" s="14">
        <v>4</v>
      </c>
      <c r="AU17" s="14">
        <v>0</v>
      </c>
      <c r="AV17" s="14">
        <v>0</v>
      </c>
      <c r="AW17" s="14">
        <v>0</v>
      </c>
      <c r="AX17" s="14">
        <v>0</v>
      </c>
      <c r="AY17" s="14">
        <v>0</v>
      </c>
      <c r="AZ17" s="14">
        <v>0</v>
      </c>
      <c r="BA17" s="14">
        <v>0</v>
      </c>
      <c r="BB17" s="14">
        <v>0</v>
      </c>
      <c r="BC17" s="14">
        <v>0</v>
      </c>
      <c r="BD17" s="14">
        <v>0</v>
      </c>
      <c r="BE17" s="14">
        <v>0</v>
      </c>
      <c r="BF17" s="14">
        <v>0</v>
      </c>
      <c r="BG17" s="14">
        <v>1</v>
      </c>
      <c r="BH17" s="14">
        <v>2</v>
      </c>
    </row>
    <row r="18" spans="1:60">
      <c r="A18" s="12" t="s">
        <v>80</v>
      </c>
      <c r="E18" s="12" t="s">
        <v>215</v>
      </c>
      <c r="F18" s="12" t="s">
        <v>60</v>
      </c>
      <c r="G18" s="7" t="s">
        <v>61</v>
      </c>
      <c r="H18" s="12" t="s">
        <v>273</v>
      </c>
      <c r="I18" s="12" t="s">
        <v>274</v>
      </c>
      <c r="J18" s="15">
        <v>45954</v>
      </c>
      <c r="K18" s="15" t="s">
        <v>275</v>
      </c>
      <c r="L18" s="15" t="s">
        <v>253</v>
      </c>
      <c r="M18" s="47"/>
      <c r="N18" s="17">
        <v>30</v>
      </c>
      <c r="O18" s="17">
        <v>0</v>
      </c>
      <c r="P18" s="17">
        <v>30</v>
      </c>
      <c r="Q18" s="17">
        <v>1</v>
      </c>
      <c r="R18" s="17">
        <v>1</v>
      </c>
      <c r="S18" s="17">
        <v>0</v>
      </c>
      <c r="T18" s="12">
        <v>1</v>
      </c>
      <c r="U18" s="12" t="s">
        <v>205</v>
      </c>
      <c r="V18" s="12"/>
      <c r="W18" s="12" t="s">
        <v>206</v>
      </c>
      <c r="X18" s="12" t="s">
        <v>89</v>
      </c>
      <c r="Y18" s="15">
        <v>45712</v>
      </c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 t="s">
        <v>77</v>
      </c>
      <c r="AN18" s="12" t="s">
        <v>77</v>
      </c>
      <c r="AO18" s="12" t="s">
        <v>77</v>
      </c>
      <c r="AP18" s="14">
        <v>4</v>
      </c>
      <c r="AQ18" s="14">
        <v>2</v>
      </c>
      <c r="AR18" s="14">
        <v>0</v>
      </c>
      <c r="AS18" s="14">
        <v>0</v>
      </c>
      <c r="AT18" s="14">
        <v>4</v>
      </c>
      <c r="AU18" s="14">
        <v>0</v>
      </c>
      <c r="AV18" s="14">
        <v>0</v>
      </c>
      <c r="AW18" s="14">
        <v>0</v>
      </c>
      <c r="AX18" s="14">
        <v>0</v>
      </c>
      <c r="AY18" s="14">
        <v>0</v>
      </c>
      <c r="AZ18" s="14">
        <v>0</v>
      </c>
      <c r="BA18" s="14">
        <v>0</v>
      </c>
      <c r="BB18" s="14">
        <v>0</v>
      </c>
      <c r="BC18" s="14">
        <v>0</v>
      </c>
      <c r="BD18" s="14">
        <v>0</v>
      </c>
      <c r="BE18" s="14">
        <v>0</v>
      </c>
      <c r="BF18" s="14">
        <v>0</v>
      </c>
      <c r="BG18" s="14">
        <v>1</v>
      </c>
      <c r="BH18" s="14">
        <v>2</v>
      </c>
    </row>
    <row r="19" spans="1:60">
      <c r="H19" s="38"/>
      <c r="I19" s="34" t="s">
        <v>276</v>
      </c>
      <c r="J19" s="34"/>
      <c r="K19" s="34"/>
      <c r="L19" s="34"/>
      <c r="AP19" s="21">
        <f t="shared" ref="AP19" si="2">SUM(AP10:AP18)</f>
        <v>55</v>
      </c>
      <c r="AQ19" s="21">
        <f t="shared" ref="AQ19" si="3">SUM(AQ10:AQ18)</f>
        <v>41</v>
      </c>
      <c r="AR19" s="21">
        <f t="shared" ref="AR19" si="4">SUM(AR10:AR18)</f>
        <v>0</v>
      </c>
      <c r="AS19" s="21">
        <f t="shared" ref="AS19" si="5">SUM(AS10:AS18)</f>
        <v>0</v>
      </c>
      <c r="AT19" s="21">
        <f t="shared" ref="AT19" si="6">SUM(AT10:AT18)</f>
        <v>55</v>
      </c>
      <c r="AU19" s="21">
        <f t="shared" ref="AU19" si="7">SUM(AU10:AU18)</f>
        <v>0</v>
      </c>
      <c r="AV19" s="21">
        <f t="shared" ref="AV19" si="8">SUM(AV10:AV18)</f>
        <v>0</v>
      </c>
      <c r="AW19" s="21">
        <f t="shared" ref="AW19" si="9">SUM(AW10:AW18)</f>
        <v>0</v>
      </c>
      <c r="AX19" s="21">
        <f t="shared" ref="AX19" si="10">SUM(AX10:AX18)</f>
        <v>0</v>
      </c>
      <c r="AY19" s="21">
        <f t="shared" ref="AY19" si="11">SUM(AY10:AY18)</f>
        <v>0</v>
      </c>
      <c r="AZ19" s="21">
        <f t="shared" ref="AZ19" si="12">SUM(AZ10:AZ18)</f>
        <v>0</v>
      </c>
      <c r="BA19" s="21">
        <f t="shared" ref="BA19" si="13">SUM(BA10:BA18)</f>
        <v>0</v>
      </c>
      <c r="BB19" s="21">
        <f t="shared" ref="BB19" si="14">SUM(BB10:BB18)</f>
        <v>0</v>
      </c>
      <c r="BC19" s="21">
        <f t="shared" ref="BC19" si="15">SUM(BC10:BC18)</f>
        <v>0</v>
      </c>
      <c r="BD19" s="21">
        <f t="shared" ref="BD19:BE19" si="16">SUM(BD10:BD18)</f>
        <v>0</v>
      </c>
      <c r="BE19" s="21">
        <f t="shared" si="16"/>
        <v>0</v>
      </c>
      <c r="BF19" s="21">
        <f t="shared" ref="BF19" si="17">SUM(BF10:BF18)</f>
        <v>0</v>
      </c>
      <c r="BG19" s="21">
        <f t="shared" ref="BG19:BH19" si="18">SUM(BG10:BG18)</f>
        <v>9</v>
      </c>
      <c r="BH19" s="21">
        <f t="shared" si="18"/>
        <v>18</v>
      </c>
    </row>
    <row r="20" spans="1:60">
      <c r="H20" s="38"/>
      <c r="AR20" s="11"/>
    </row>
    <row r="21" spans="1:60">
      <c r="A21" s="12" t="s">
        <v>184</v>
      </c>
      <c r="B21" s="16"/>
      <c r="C21" s="12"/>
      <c r="D21" s="12"/>
      <c r="E21" s="12" t="s">
        <v>74</v>
      </c>
      <c r="F21" s="12" t="s">
        <v>231</v>
      </c>
      <c r="G21" s="12"/>
      <c r="H21" s="12" t="s">
        <v>203</v>
      </c>
      <c r="I21" s="12" t="s">
        <v>277</v>
      </c>
      <c r="J21" s="14" t="s">
        <v>89</v>
      </c>
      <c r="K21" s="14" t="s">
        <v>89</v>
      </c>
      <c r="L21" s="14" t="s">
        <v>89</v>
      </c>
      <c r="AP21" s="14">
        <v>105</v>
      </c>
      <c r="AQ21" s="14">
        <v>228</v>
      </c>
      <c r="AR21" s="12">
        <v>0</v>
      </c>
      <c r="AS21" s="14">
        <v>11</v>
      </c>
      <c r="AT21" s="14">
        <v>116</v>
      </c>
      <c r="AU21" s="14">
        <v>0</v>
      </c>
      <c r="AV21" s="14">
        <v>2</v>
      </c>
      <c r="AW21" s="14">
        <v>0</v>
      </c>
      <c r="AX21" s="14">
        <v>15</v>
      </c>
      <c r="AY21" s="14">
        <v>15</v>
      </c>
      <c r="AZ21" s="14">
        <v>0</v>
      </c>
      <c r="BA21" s="14">
        <v>0</v>
      </c>
      <c r="BB21" s="14">
        <v>0</v>
      </c>
      <c r="BC21" s="14">
        <v>6</v>
      </c>
      <c r="BD21" s="14">
        <v>5</v>
      </c>
      <c r="BE21" s="14">
        <v>5</v>
      </c>
      <c r="BF21" s="14">
        <v>1</v>
      </c>
      <c r="BG21" s="14">
        <v>4</v>
      </c>
      <c r="BH21" s="14">
        <v>0</v>
      </c>
    </row>
    <row r="22" spans="1:60">
      <c r="A22" s="12" t="s">
        <v>184</v>
      </c>
      <c r="B22" s="16"/>
      <c r="C22" s="12"/>
      <c r="D22" s="12"/>
      <c r="E22" s="12" t="s">
        <v>159</v>
      </c>
      <c r="F22" s="12" t="s">
        <v>231</v>
      </c>
      <c r="G22" s="12"/>
      <c r="H22" s="12" t="s">
        <v>207</v>
      </c>
      <c r="I22" s="12" t="s">
        <v>278</v>
      </c>
      <c r="J22" s="14" t="s">
        <v>89</v>
      </c>
      <c r="K22" s="14" t="s">
        <v>89</v>
      </c>
      <c r="L22" s="14" t="s">
        <v>89</v>
      </c>
      <c r="AP22" s="14">
        <v>80</v>
      </c>
      <c r="AQ22" s="14">
        <v>166</v>
      </c>
      <c r="AR22" s="12">
        <v>0</v>
      </c>
      <c r="AS22" s="14">
        <v>7</v>
      </c>
      <c r="AT22" s="14">
        <v>87</v>
      </c>
      <c r="AU22" s="14">
        <v>0</v>
      </c>
      <c r="AV22" s="14">
        <v>2</v>
      </c>
      <c r="AW22" s="14">
        <v>0</v>
      </c>
      <c r="AX22" s="14">
        <v>15</v>
      </c>
      <c r="AY22" s="14">
        <v>15</v>
      </c>
      <c r="AZ22" s="14">
        <v>0</v>
      </c>
      <c r="BA22" s="14">
        <v>0</v>
      </c>
      <c r="BB22" s="14">
        <v>0</v>
      </c>
      <c r="BC22" s="14">
        <v>4</v>
      </c>
      <c r="BD22" s="14">
        <v>4</v>
      </c>
      <c r="BE22" s="14">
        <v>4</v>
      </c>
      <c r="BF22" s="14">
        <v>0</v>
      </c>
      <c r="BG22" s="14">
        <v>2</v>
      </c>
      <c r="BH22" s="14">
        <v>0</v>
      </c>
    </row>
    <row r="23" spans="1:60">
      <c r="H23" s="40"/>
      <c r="I23" s="35" t="s">
        <v>279</v>
      </c>
      <c r="J23" s="35"/>
      <c r="K23" s="35"/>
      <c r="L23" s="35"/>
      <c r="AP23" s="36">
        <v>185</v>
      </c>
      <c r="AQ23" s="36">
        <v>394</v>
      </c>
      <c r="AR23" s="35">
        <v>0</v>
      </c>
      <c r="AS23" s="36">
        <v>18</v>
      </c>
      <c r="AT23" s="36">
        <v>203</v>
      </c>
      <c r="AU23" s="36">
        <v>0</v>
      </c>
      <c r="AV23" s="36">
        <v>4</v>
      </c>
      <c r="AW23" s="36">
        <v>0</v>
      </c>
      <c r="AX23" s="36">
        <v>30</v>
      </c>
      <c r="AY23" s="36">
        <v>30</v>
      </c>
      <c r="AZ23" s="36">
        <v>0</v>
      </c>
      <c r="BA23" s="36">
        <v>0</v>
      </c>
      <c r="BB23" s="36">
        <v>0</v>
      </c>
      <c r="BC23" s="36">
        <v>10</v>
      </c>
      <c r="BD23" s="36">
        <v>9</v>
      </c>
      <c r="BE23" s="36">
        <v>9</v>
      </c>
      <c r="BF23" s="36">
        <v>1</v>
      </c>
      <c r="BG23" s="36">
        <v>6</v>
      </c>
      <c r="BH23" s="36">
        <v>6</v>
      </c>
    </row>
    <row r="24" spans="1:60">
      <c r="G24" s="5"/>
      <c r="Y24" s="37"/>
      <c r="AR24" s="11"/>
    </row>
    <row r="25" spans="1:60">
      <c r="H25" s="52" t="s">
        <v>280</v>
      </c>
      <c r="I25" s="12" t="s">
        <v>281</v>
      </c>
      <c r="J25" s="14" t="s">
        <v>282</v>
      </c>
      <c r="K25" s="14" t="s">
        <v>282</v>
      </c>
      <c r="L25" s="14" t="s">
        <v>282</v>
      </c>
      <c r="AP25" s="14">
        <v>260</v>
      </c>
      <c r="AQ25" s="14">
        <v>294</v>
      </c>
      <c r="AR25" s="14">
        <v>0</v>
      </c>
      <c r="AS25" s="14">
        <v>19</v>
      </c>
      <c r="AT25" s="14">
        <v>279</v>
      </c>
      <c r="AU25" s="14">
        <v>2</v>
      </c>
      <c r="AV25" s="14">
        <v>2</v>
      </c>
      <c r="AW25" s="14">
        <v>0</v>
      </c>
      <c r="AX25" s="14">
        <v>20</v>
      </c>
      <c r="AY25" s="14">
        <v>20</v>
      </c>
      <c r="AZ25" s="14">
        <v>0</v>
      </c>
      <c r="BA25" s="14">
        <v>0</v>
      </c>
      <c r="BB25" s="14">
        <v>0</v>
      </c>
      <c r="BC25" s="14">
        <v>7</v>
      </c>
      <c r="BD25" s="14">
        <v>6</v>
      </c>
      <c r="BE25" s="14">
        <v>7</v>
      </c>
      <c r="BF25" s="14">
        <v>0</v>
      </c>
      <c r="BG25" s="14">
        <v>7</v>
      </c>
      <c r="BH25" s="14">
        <v>0</v>
      </c>
    </row>
    <row r="26" spans="1:60">
      <c r="H26" s="52"/>
      <c r="I26" s="12" t="s">
        <v>283</v>
      </c>
      <c r="J26" s="14" t="s">
        <v>284</v>
      </c>
      <c r="K26" s="14" t="s">
        <v>284</v>
      </c>
      <c r="L26" s="14" t="s">
        <v>284</v>
      </c>
      <c r="AP26" s="14">
        <v>358</v>
      </c>
      <c r="AQ26" s="14">
        <v>412</v>
      </c>
      <c r="AR26" s="14">
        <v>0</v>
      </c>
      <c r="AS26" s="14">
        <v>32</v>
      </c>
      <c r="AT26" s="14">
        <v>390</v>
      </c>
      <c r="AU26" s="14">
        <v>2</v>
      </c>
      <c r="AV26" s="14">
        <v>2</v>
      </c>
      <c r="AW26" s="14">
        <v>0</v>
      </c>
      <c r="AX26" s="14">
        <v>18</v>
      </c>
      <c r="AY26" s="14">
        <v>18</v>
      </c>
      <c r="AZ26" s="14">
        <v>0</v>
      </c>
      <c r="BA26" s="14">
        <v>0</v>
      </c>
      <c r="BB26" s="14">
        <v>0</v>
      </c>
      <c r="BC26" s="14">
        <v>10</v>
      </c>
      <c r="BD26" s="14">
        <v>8</v>
      </c>
      <c r="BE26" s="14">
        <v>2</v>
      </c>
      <c r="BF26" s="14">
        <v>1</v>
      </c>
      <c r="BG26" s="14">
        <v>9</v>
      </c>
      <c r="BH26" s="14">
        <v>0</v>
      </c>
    </row>
    <row r="27" spans="1:60">
      <c r="H27" s="52"/>
      <c r="I27" s="12" t="s">
        <v>285</v>
      </c>
      <c r="J27" s="14" t="s">
        <v>286</v>
      </c>
      <c r="K27" s="14" t="s">
        <v>286</v>
      </c>
      <c r="L27" s="14" t="s">
        <v>286</v>
      </c>
      <c r="AP27" s="14">
        <f t="shared" ref="AP27:BH27" si="19">SUM(AP10:AP18)</f>
        <v>55</v>
      </c>
      <c r="AQ27" s="14">
        <f t="shared" si="19"/>
        <v>41</v>
      </c>
      <c r="AR27" s="14">
        <f t="shared" si="19"/>
        <v>0</v>
      </c>
      <c r="AS27" s="14">
        <f t="shared" si="19"/>
        <v>0</v>
      </c>
      <c r="AT27" s="14">
        <f t="shared" si="19"/>
        <v>55</v>
      </c>
      <c r="AU27" s="14">
        <f t="shared" si="19"/>
        <v>0</v>
      </c>
      <c r="AV27" s="14">
        <f t="shared" si="19"/>
        <v>0</v>
      </c>
      <c r="AW27" s="14">
        <f t="shared" si="19"/>
        <v>0</v>
      </c>
      <c r="AX27" s="14">
        <f t="shared" si="19"/>
        <v>0</v>
      </c>
      <c r="AY27" s="14">
        <f t="shared" si="19"/>
        <v>0</v>
      </c>
      <c r="AZ27" s="14">
        <f t="shared" si="19"/>
        <v>0</v>
      </c>
      <c r="BA27" s="14">
        <f t="shared" si="19"/>
        <v>0</v>
      </c>
      <c r="BB27" s="14">
        <f t="shared" si="19"/>
        <v>0</v>
      </c>
      <c r="BC27" s="14">
        <f t="shared" si="19"/>
        <v>0</v>
      </c>
      <c r="BD27" s="14">
        <f t="shared" si="19"/>
        <v>0</v>
      </c>
      <c r="BE27" s="14">
        <f t="shared" ref="BE27" si="20">SUM(BE10:BE18)</f>
        <v>0</v>
      </c>
      <c r="BF27" s="14">
        <f t="shared" si="19"/>
        <v>0</v>
      </c>
      <c r="BG27" s="14">
        <f t="shared" si="19"/>
        <v>9</v>
      </c>
      <c r="BH27" s="14">
        <f t="shared" si="19"/>
        <v>18</v>
      </c>
    </row>
    <row r="28" spans="1:60">
      <c r="H28" s="52"/>
      <c r="I28" s="12" t="s">
        <v>287</v>
      </c>
      <c r="J28" s="12"/>
      <c r="K28" s="12"/>
      <c r="L28" s="12"/>
      <c r="AP28" s="14">
        <v>60</v>
      </c>
      <c r="AQ28" s="14">
        <v>70</v>
      </c>
      <c r="AR28" s="12">
        <v>0</v>
      </c>
      <c r="AS28" s="14">
        <v>5</v>
      </c>
      <c r="AT28" s="14">
        <v>0</v>
      </c>
      <c r="AU28" s="14">
        <v>0</v>
      </c>
      <c r="AV28" s="14">
        <v>0</v>
      </c>
      <c r="AW28" s="14">
        <v>0</v>
      </c>
      <c r="AX28" s="14">
        <v>30</v>
      </c>
      <c r="AY28" s="14">
        <v>30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16</v>
      </c>
      <c r="BH28" s="14">
        <v>0</v>
      </c>
    </row>
    <row r="29" spans="1:60">
      <c r="H29" s="52"/>
      <c r="I29" s="35" t="s">
        <v>288</v>
      </c>
      <c r="J29" s="35"/>
      <c r="K29" s="35"/>
      <c r="L29" s="35"/>
      <c r="AP29" s="36">
        <f t="shared" ref="AP29:BH29" si="21">SUM(AP25:AP28)</f>
        <v>733</v>
      </c>
      <c r="AQ29" s="36">
        <f t="shared" si="21"/>
        <v>817</v>
      </c>
      <c r="AR29" s="36">
        <f t="shared" si="21"/>
        <v>0</v>
      </c>
      <c r="AS29" s="36">
        <f t="shared" si="21"/>
        <v>56</v>
      </c>
      <c r="AT29" s="36">
        <f t="shared" si="21"/>
        <v>724</v>
      </c>
      <c r="AU29" s="36">
        <f t="shared" si="21"/>
        <v>4</v>
      </c>
      <c r="AV29" s="36">
        <f t="shared" si="21"/>
        <v>4</v>
      </c>
      <c r="AW29" s="36">
        <f t="shared" si="21"/>
        <v>0</v>
      </c>
      <c r="AX29" s="36">
        <f t="shared" si="21"/>
        <v>68</v>
      </c>
      <c r="AY29" s="36">
        <f t="shared" si="21"/>
        <v>68</v>
      </c>
      <c r="AZ29" s="36">
        <f t="shared" si="21"/>
        <v>0</v>
      </c>
      <c r="BA29" s="36">
        <f t="shared" si="21"/>
        <v>0</v>
      </c>
      <c r="BB29" s="36">
        <f t="shared" si="21"/>
        <v>0</v>
      </c>
      <c r="BC29" s="36">
        <f t="shared" si="21"/>
        <v>17</v>
      </c>
      <c r="BD29" s="36">
        <f t="shared" si="21"/>
        <v>14</v>
      </c>
      <c r="BE29" s="36">
        <f t="shared" si="21"/>
        <v>9</v>
      </c>
      <c r="BF29" s="36">
        <f t="shared" si="21"/>
        <v>1</v>
      </c>
      <c r="BG29" s="36">
        <f t="shared" si="21"/>
        <v>41</v>
      </c>
      <c r="BH29" s="36">
        <f t="shared" si="21"/>
        <v>18</v>
      </c>
    </row>
    <row r="30" spans="1:60">
      <c r="H30" s="52"/>
      <c r="I30" s="44" t="s">
        <v>244</v>
      </c>
      <c r="J30" s="44"/>
      <c r="K30" s="44"/>
      <c r="L30" s="44"/>
      <c r="AP30" s="45">
        <f t="shared" ref="AP30:BH30" si="22">SUM(AP8)</f>
        <v>628</v>
      </c>
      <c r="AQ30" s="45">
        <f t="shared" si="22"/>
        <v>690</v>
      </c>
      <c r="AR30" s="45">
        <f t="shared" si="22"/>
        <v>0</v>
      </c>
      <c r="AS30" s="45">
        <f t="shared" si="22"/>
        <v>45</v>
      </c>
      <c r="AT30" s="45">
        <f t="shared" si="22"/>
        <v>676</v>
      </c>
      <c r="AU30" s="45">
        <f t="shared" si="22"/>
        <v>2</v>
      </c>
      <c r="AV30" s="45">
        <f t="shared" si="22"/>
        <v>5</v>
      </c>
      <c r="AW30" s="45">
        <f t="shared" si="22"/>
        <v>0</v>
      </c>
      <c r="AX30" s="45">
        <f t="shared" si="22"/>
        <v>15</v>
      </c>
      <c r="AY30" s="45">
        <f t="shared" si="22"/>
        <v>15</v>
      </c>
      <c r="AZ30" s="45">
        <f t="shared" si="22"/>
        <v>0</v>
      </c>
      <c r="BA30" s="45">
        <f t="shared" si="22"/>
        <v>0</v>
      </c>
      <c r="BB30" s="45">
        <f t="shared" si="22"/>
        <v>0</v>
      </c>
      <c r="BC30" s="45">
        <f t="shared" si="22"/>
        <v>13</v>
      </c>
      <c r="BD30" s="45">
        <f t="shared" si="22"/>
        <v>13</v>
      </c>
      <c r="BE30" s="45">
        <f t="shared" ref="BE30" si="23">SUM(BE8)</f>
        <v>7</v>
      </c>
      <c r="BF30" s="45">
        <f t="shared" si="22"/>
        <v>1</v>
      </c>
      <c r="BG30" s="45">
        <f t="shared" si="22"/>
        <v>20</v>
      </c>
      <c r="BH30" s="45">
        <f t="shared" si="22"/>
        <v>0</v>
      </c>
    </row>
    <row r="31" spans="1:60">
      <c r="H31" s="52"/>
      <c r="I31" s="42" t="s">
        <v>289</v>
      </c>
      <c r="J31" s="42"/>
      <c r="K31" s="42"/>
      <c r="L31" s="42"/>
      <c r="AP31" s="43">
        <v>125</v>
      </c>
      <c r="AQ31" s="43">
        <v>400</v>
      </c>
      <c r="AR31" s="43">
        <v>0</v>
      </c>
      <c r="AS31" s="43">
        <v>0</v>
      </c>
      <c r="AT31" s="43">
        <v>0</v>
      </c>
      <c r="AU31" s="43">
        <v>0</v>
      </c>
      <c r="AV31" s="43">
        <v>12</v>
      </c>
      <c r="AW31" s="43">
        <v>6</v>
      </c>
      <c r="AX31" s="43">
        <v>0</v>
      </c>
      <c r="AY31" s="43">
        <v>0</v>
      </c>
      <c r="AZ31" s="43">
        <v>0</v>
      </c>
      <c r="BA31" s="43">
        <v>1</v>
      </c>
      <c r="BB31" s="43">
        <v>0</v>
      </c>
      <c r="BC31" s="43">
        <v>0</v>
      </c>
      <c r="BD31" s="43">
        <v>0</v>
      </c>
      <c r="BE31" s="43">
        <v>0</v>
      </c>
      <c r="BF31" s="43">
        <v>0</v>
      </c>
      <c r="BG31" s="43">
        <v>3</v>
      </c>
      <c r="BH31" s="43">
        <v>0</v>
      </c>
    </row>
    <row r="33" spans="9:60">
      <c r="I33" s="46" t="s">
        <v>290</v>
      </c>
      <c r="J33" s="46"/>
      <c r="K33" s="46"/>
      <c r="L33" s="46"/>
      <c r="N33" s="30"/>
      <c r="O33" s="30"/>
      <c r="P33" s="30"/>
      <c r="Q33" s="30"/>
      <c r="R33" s="30"/>
      <c r="S33" s="30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19">
        <f t="shared" ref="AP33:BH33" si="24">SUM(AP29-AP30-AP31)</f>
        <v>-20</v>
      </c>
      <c r="AQ33" s="19">
        <f t="shared" si="24"/>
        <v>-273</v>
      </c>
      <c r="AR33" s="19">
        <f t="shared" si="24"/>
        <v>0</v>
      </c>
      <c r="AS33" s="19">
        <f t="shared" si="24"/>
        <v>11</v>
      </c>
      <c r="AT33" s="19">
        <f t="shared" si="24"/>
        <v>48</v>
      </c>
      <c r="AU33" s="19">
        <f t="shared" si="24"/>
        <v>2</v>
      </c>
      <c r="AV33" s="19">
        <f t="shared" si="24"/>
        <v>-13</v>
      </c>
      <c r="AW33" s="19">
        <f t="shared" si="24"/>
        <v>-6</v>
      </c>
      <c r="AX33" s="19">
        <f t="shared" si="24"/>
        <v>53</v>
      </c>
      <c r="AY33" s="19">
        <f t="shared" si="24"/>
        <v>53</v>
      </c>
      <c r="AZ33" s="19">
        <f t="shared" si="24"/>
        <v>0</v>
      </c>
      <c r="BA33" s="19">
        <f t="shared" si="24"/>
        <v>-1</v>
      </c>
      <c r="BB33" s="19">
        <f t="shared" si="24"/>
        <v>0</v>
      </c>
      <c r="BC33" s="19">
        <f t="shared" si="24"/>
        <v>4</v>
      </c>
      <c r="BD33" s="19">
        <f t="shared" si="24"/>
        <v>1</v>
      </c>
      <c r="BE33" s="19">
        <f t="shared" ref="BE33" si="25">SUM(BE29-BE30-BE31)</f>
        <v>2</v>
      </c>
      <c r="BF33" s="19">
        <f t="shared" si="24"/>
        <v>0</v>
      </c>
      <c r="BG33" s="19">
        <f t="shared" si="24"/>
        <v>18</v>
      </c>
      <c r="BH33" s="19">
        <f t="shared" si="24"/>
        <v>18</v>
      </c>
    </row>
    <row r="35" spans="9:60">
      <c r="I35" s="46" t="s">
        <v>291</v>
      </c>
      <c r="J35" s="46"/>
      <c r="K35" s="46"/>
      <c r="L35" s="46"/>
      <c r="AP35" s="46">
        <v>0</v>
      </c>
      <c r="AQ35" s="46">
        <v>0</v>
      </c>
      <c r="AR35" s="46">
        <v>0</v>
      </c>
      <c r="AS35" s="46">
        <v>20</v>
      </c>
      <c r="AT35" s="46">
        <v>100</v>
      </c>
      <c r="AU35" s="46">
        <v>0</v>
      </c>
      <c r="AV35" s="46">
        <v>0</v>
      </c>
      <c r="AW35" s="46">
        <v>0</v>
      </c>
      <c r="AX35" s="46">
        <v>50</v>
      </c>
      <c r="AY35" s="46">
        <v>50</v>
      </c>
      <c r="AZ35" s="46">
        <v>0</v>
      </c>
      <c r="BA35" s="46">
        <v>0</v>
      </c>
      <c r="BB35" s="46">
        <v>0</v>
      </c>
      <c r="BC35" s="46">
        <v>0</v>
      </c>
      <c r="BD35" s="46">
        <v>0</v>
      </c>
      <c r="BE35" s="46">
        <v>0</v>
      </c>
      <c r="BF35" s="46">
        <v>0</v>
      </c>
      <c r="BG35" s="46">
        <v>0</v>
      </c>
      <c r="BH35" s="46">
        <v>0</v>
      </c>
    </row>
  </sheetData>
  <sheetProtection formatCells="0" formatColumns="0" formatRows="0" insertColumns="0" insertRows="0" insertHyperlinks="0" deleteColumns="0" deleteRows="0" sort="0" autoFilter="0"/>
  <autoFilter ref="A2:BG2" xr:uid="{66249CD7-F0C3-4D66-831B-03B6D5E8D2DA}"/>
  <mergeCells count="2">
    <mergeCell ref="AJ1:AK1"/>
    <mergeCell ref="H25:H31"/>
  </mergeCells>
  <printOptions headings="1"/>
  <pageMargins left="0.25" right="0.25" top="0.75" bottom="0.75" header="0.3" footer="0.3"/>
  <pageSetup paperSize="3" fitToHeight="0" orientation="landscape" r:id="rId1"/>
  <headerFooter>
    <oddHeader>&amp;C&amp;A</oddHeader>
    <oddFooter>&amp;C&amp;P of &amp;N&amp;R&amp;D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D74CE-31B7-4334-B482-6DE70F76B1CF}">
  <sheetPr>
    <pageSetUpPr fitToPage="1"/>
  </sheetPr>
  <dimension ref="A1:L12"/>
  <sheetViews>
    <sheetView zoomScaleNormal="100" workbookViewId="0">
      <pane ySplit="1" topLeftCell="A2" activePane="bottomLeft" state="frozen"/>
      <selection pane="bottomLeft"/>
    </sheetView>
  </sheetViews>
  <sheetFormatPr defaultRowHeight="14.45"/>
  <cols>
    <col min="1" max="1" width="43.7109375" customWidth="1"/>
    <col min="2" max="2" width="46.140625" customWidth="1"/>
    <col min="3" max="3" width="9" style="11" customWidth="1"/>
    <col min="4" max="4" width="8.85546875" style="11" customWidth="1"/>
    <col min="5" max="5" width="8.85546875" customWidth="1"/>
    <col min="6" max="6" width="8.85546875" style="11" customWidth="1"/>
    <col min="7" max="7" width="11.5703125" style="11" customWidth="1"/>
    <col min="8" max="11" width="8.85546875" style="11" customWidth="1"/>
    <col min="12" max="12" width="10.85546875" style="11" customWidth="1"/>
  </cols>
  <sheetData>
    <row r="1" spans="1:12" ht="55.15">
      <c r="A1" s="1" t="s">
        <v>7</v>
      </c>
      <c r="B1" s="1" t="s">
        <v>8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</row>
    <row r="2" spans="1:12">
      <c r="A2" s="12" t="s">
        <v>203</v>
      </c>
      <c r="B2" s="12" t="s">
        <v>292</v>
      </c>
      <c r="C2" s="14">
        <v>178</v>
      </c>
      <c r="D2" s="14">
        <v>206</v>
      </c>
      <c r="E2" s="14">
        <v>0</v>
      </c>
      <c r="F2" s="14">
        <v>11</v>
      </c>
      <c r="G2" s="14">
        <v>192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</row>
    <row r="3" spans="1:12">
      <c r="A3" s="12" t="s">
        <v>207</v>
      </c>
      <c r="B3" s="12" t="s">
        <v>293</v>
      </c>
      <c r="C3" s="14">
        <v>184</v>
      </c>
      <c r="D3" s="14">
        <v>196</v>
      </c>
      <c r="E3" s="14">
        <v>0</v>
      </c>
      <c r="F3" s="14">
        <v>9</v>
      </c>
      <c r="G3" s="14">
        <v>193</v>
      </c>
      <c r="H3" s="14">
        <v>0</v>
      </c>
      <c r="I3" s="14">
        <v>2</v>
      </c>
      <c r="J3" s="14">
        <v>0</v>
      </c>
      <c r="K3" s="14">
        <v>0</v>
      </c>
      <c r="L3" s="14">
        <v>0</v>
      </c>
    </row>
    <row r="4" spans="1:12">
      <c r="A4" s="12" t="s">
        <v>210</v>
      </c>
      <c r="B4" s="12" t="s">
        <v>294</v>
      </c>
      <c r="C4" s="14">
        <v>236</v>
      </c>
      <c r="D4" s="14">
        <v>256</v>
      </c>
      <c r="E4" s="14">
        <v>0</v>
      </c>
      <c r="F4" s="14">
        <v>24</v>
      </c>
      <c r="G4" s="14">
        <v>260</v>
      </c>
      <c r="H4" s="14">
        <v>2</v>
      </c>
      <c r="I4" s="14">
        <v>2</v>
      </c>
      <c r="J4" s="14">
        <v>0</v>
      </c>
      <c r="K4" s="14">
        <v>15</v>
      </c>
      <c r="L4" s="14">
        <v>15</v>
      </c>
    </row>
    <row r="5" spans="1:12">
      <c r="A5" s="12" t="s">
        <v>213</v>
      </c>
      <c r="B5" s="12" t="s">
        <v>295</v>
      </c>
      <c r="C5" s="14">
        <v>30</v>
      </c>
      <c r="D5" s="14">
        <v>32</v>
      </c>
      <c r="E5" s="14">
        <v>0</v>
      </c>
      <c r="F5" s="14">
        <v>1</v>
      </c>
      <c r="G5" s="14">
        <v>31</v>
      </c>
      <c r="H5" s="14">
        <v>0</v>
      </c>
      <c r="I5" s="14">
        <v>1</v>
      </c>
      <c r="J5" s="14">
        <v>0</v>
      </c>
      <c r="K5" s="14">
        <v>0</v>
      </c>
      <c r="L5" s="14">
        <v>0</v>
      </c>
    </row>
    <row r="7" spans="1:12">
      <c r="A7" s="31"/>
      <c r="B7" s="34" t="s">
        <v>296</v>
      </c>
      <c r="C7" s="21">
        <f t="shared" ref="C7:L7" si="0">SUM(C2:C5)</f>
        <v>628</v>
      </c>
      <c r="D7" s="21">
        <f t="shared" si="0"/>
        <v>690</v>
      </c>
      <c r="E7" s="21">
        <f t="shared" si="0"/>
        <v>0</v>
      </c>
      <c r="F7" s="21">
        <f t="shared" si="0"/>
        <v>45</v>
      </c>
      <c r="G7" s="21">
        <f t="shared" si="0"/>
        <v>676</v>
      </c>
      <c r="H7" s="21">
        <f t="shared" si="0"/>
        <v>2</v>
      </c>
      <c r="I7" s="21">
        <f t="shared" si="0"/>
        <v>5</v>
      </c>
      <c r="J7" s="21">
        <f t="shared" si="0"/>
        <v>0</v>
      </c>
      <c r="K7" s="21">
        <f t="shared" si="0"/>
        <v>15</v>
      </c>
      <c r="L7" s="21">
        <f t="shared" si="0"/>
        <v>15</v>
      </c>
    </row>
    <row r="9" spans="1:12">
      <c r="A9" s="12" t="s">
        <v>203</v>
      </c>
      <c r="B9" s="12" t="s">
        <v>297</v>
      </c>
      <c r="C9" s="14">
        <v>105</v>
      </c>
      <c r="D9" s="14">
        <v>228</v>
      </c>
      <c r="E9" s="12">
        <v>0</v>
      </c>
      <c r="F9" s="14">
        <v>11</v>
      </c>
      <c r="G9" s="14">
        <v>116</v>
      </c>
      <c r="H9" s="14">
        <v>0</v>
      </c>
      <c r="I9" s="14">
        <v>2</v>
      </c>
      <c r="J9" s="14">
        <v>0</v>
      </c>
      <c r="K9" s="14">
        <v>15</v>
      </c>
      <c r="L9" s="14">
        <v>15</v>
      </c>
    </row>
    <row r="10" spans="1:12">
      <c r="A10" s="12" t="s">
        <v>207</v>
      </c>
      <c r="B10" s="12" t="s">
        <v>298</v>
      </c>
      <c r="C10" s="14">
        <v>80</v>
      </c>
      <c r="D10" s="14">
        <v>166</v>
      </c>
      <c r="E10" s="12">
        <v>0</v>
      </c>
      <c r="F10" s="14">
        <v>7</v>
      </c>
      <c r="G10" s="14">
        <v>87</v>
      </c>
      <c r="H10" s="14">
        <v>0</v>
      </c>
      <c r="I10" s="14">
        <v>2</v>
      </c>
      <c r="J10" s="14">
        <v>0</v>
      </c>
      <c r="K10" s="14">
        <v>15</v>
      </c>
      <c r="L10" s="14">
        <v>15</v>
      </c>
    </row>
    <row r="12" spans="1:12">
      <c r="B12" s="35" t="s">
        <v>299</v>
      </c>
      <c r="C12" s="36">
        <v>185</v>
      </c>
      <c r="D12" s="36">
        <v>394</v>
      </c>
      <c r="E12" s="35">
        <v>0</v>
      </c>
      <c r="F12" s="36">
        <v>18</v>
      </c>
      <c r="G12" s="36">
        <v>203</v>
      </c>
      <c r="H12" s="36">
        <v>0</v>
      </c>
      <c r="I12" s="36">
        <v>4</v>
      </c>
      <c r="J12" s="36">
        <v>0</v>
      </c>
      <c r="K12" s="36">
        <v>30</v>
      </c>
      <c r="L12" s="36">
        <v>30</v>
      </c>
    </row>
  </sheetData>
  <sheetProtection formatCells="0" formatColumns="0" formatRows="0" insertColumns="0" insertRows="0" insertHyperlinks="0" deleteColumns="0" deleteRows="0" sort="0" autoFilter="0"/>
  <autoFilter ref="A1:L1" xr:uid="{66249CD7-F0C3-4D66-831B-03B6D5E8D2DA}"/>
  <printOptions headings="1"/>
  <pageMargins left="0.25" right="0.25" top="0.75" bottom="0.75" header="0.3" footer="0.3"/>
  <pageSetup paperSize="3" scale="85" fitToHeight="0" orientation="landscape" r:id="rId1"/>
  <headerFooter>
    <oddHeader>&amp;C&amp;A</oddHeader>
    <oddFooter>&amp;C&amp;P of &amp;N&amp;R&amp;D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B1CF-A390-4D6D-BD70-957DCB0D4141}">
  <sheetPr>
    <pageSetUpPr fitToPage="1"/>
  </sheetPr>
  <dimension ref="A1:BC22"/>
  <sheetViews>
    <sheetView topLeftCell="H1" zoomScaleNormal="100" workbookViewId="0">
      <pane ySplit="2" topLeftCell="A3" activePane="bottomLeft" state="frozen"/>
      <selection pane="bottomLeft" activeCell="AN37" sqref="AN37"/>
    </sheetView>
  </sheetViews>
  <sheetFormatPr defaultRowHeight="14.45"/>
  <cols>
    <col min="1" max="1" width="19.42578125" customWidth="1"/>
    <col min="2" max="2" width="30.140625" style="3" hidden="1" customWidth="1"/>
    <col min="3" max="3" width="30.140625" hidden="1" customWidth="1"/>
    <col min="4" max="4" width="40.7109375" hidden="1" customWidth="1"/>
    <col min="5" max="7" width="14.42578125" customWidth="1"/>
    <col min="8" max="8" width="43.7109375" customWidth="1"/>
    <col min="9" max="9" width="46.140625" customWidth="1"/>
    <col min="10" max="10" width="20.85546875" style="4" customWidth="1"/>
    <col min="11" max="16" width="20.85546875" style="4" hidden="1" customWidth="1"/>
    <col min="17" max="17" width="15.28515625" hidden="1" customWidth="1"/>
    <col min="18" max="18" width="17.5703125" hidden="1" customWidth="1"/>
    <col min="19" max="19" width="14.140625" hidden="1" customWidth="1"/>
    <col min="20" max="20" width="21.42578125" hidden="1" customWidth="1"/>
    <col min="21" max="28" width="14.140625" hidden="1" customWidth="1"/>
    <col min="29" max="29" width="16.7109375" hidden="1" customWidth="1"/>
    <col min="30" max="34" width="14.140625" hidden="1" customWidth="1"/>
    <col min="35" max="35" width="68.85546875" hidden="1" customWidth="1"/>
    <col min="36" max="38" width="16" hidden="1" customWidth="1"/>
    <col min="39" max="39" width="9" style="11" customWidth="1"/>
    <col min="40" max="40" width="8.85546875" style="11" customWidth="1"/>
    <col min="41" max="41" width="8.85546875" customWidth="1"/>
    <col min="42" max="42" width="8.85546875" style="11" customWidth="1"/>
    <col min="43" max="43" width="11.5703125" style="11" customWidth="1"/>
    <col min="44" max="47" width="8.85546875" style="11" customWidth="1"/>
    <col min="48" max="48" width="10.85546875" style="11" customWidth="1"/>
    <col min="49" max="49" width="11.28515625" style="11" customWidth="1"/>
    <col min="50" max="51" width="8.85546875" style="11" customWidth="1"/>
    <col min="52" max="52" width="9.85546875" style="11" customWidth="1"/>
    <col min="53" max="54" width="11.28515625" style="11" customWidth="1"/>
    <col min="55" max="55" width="13" style="11" customWidth="1"/>
  </cols>
  <sheetData>
    <row r="1" spans="1:55" ht="54" customHeight="1">
      <c r="AG1" s="49"/>
      <c r="AH1" s="49"/>
    </row>
    <row r="2" spans="1:55" ht="55.1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6" t="s">
        <v>18</v>
      </c>
      <c r="T2" s="6" t="s">
        <v>19</v>
      </c>
      <c r="U2" s="6" t="s">
        <v>20</v>
      </c>
      <c r="V2" s="6" t="s">
        <v>21</v>
      </c>
      <c r="W2" s="6" t="s">
        <v>22</v>
      </c>
      <c r="X2" s="6" t="s">
        <v>23</v>
      </c>
      <c r="Y2" s="6" t="s">
        <v>24</v>
      </c>
      <c r="Z2" s="6" t="s">
        <v>25</v>
      </c>
      <c r="AA2" s="6" t="s">
        <v>26</v>
      </c>
      <c r="AB2" s="6" t="s">
        <v>27</v>
      </c>
      <c r="AC2" s="6" t="s">
        <v>28</v>
      </c>
      <c r="AD2" s="6" t="s">
        <v>29</v>
      </c>
      <c r="AE2" s="6" t="s">
        <v>30</v>
      </c>
      <c r="AF2" s="6" t="s">
        <v>31</v>
      </c>
      <c r="AG2" s="6" t="s">
        <v>32</v>
      </c>
      <c r="AH2" s="6" t="s">
        <v>33</v>
      </c>
      <c r="AI2" s="1" t="s">
        <v>34</v>
      </c>
      <c r="AJ2" s="1" t="s">
        <v>35</v>
      </c>
      <c r="AK2" s="1" t="s">
        <v>36</v>
      </c>
      <c r="AL2" s="1" t="s">
        <v>37</v>
      </c>
      <c r="AM2" s="1" t="s">
        <v>38</v>
      </c>
      <c r="AN2" s="1" t="s">
        <v>39</v>
      </c>
      <c r="AO2" s="1" t="s">
        <v>40</v>
      </c>
      <c r="AP2" s="1" t="s">
        <v>41</v>
      </c>
      <c r="AQ2" s="1" t="s">
        <v>42</v>
      </c>
      <c r="AR2" s="1" t="s">
        <v>43</v>
      </c>
      <c r="AS2" s="1" t="s">
        <v>44</v>
      </c>
      <c r="AT2" s="1" t="s">
        <v>45</v>
      </c>
      <c r="AU2" s="1" t="s">
        <v>46</v>
      </c>
      <c r="AV2" s="1" t="s">
        <v>47</v>
      </c>
      <c r="AW2" s="1" t="s">
        <v>48</v>
      </c>
      <c r="AX2" s="1" t="s">
        <v>49</v>
      </c>
      <c r="AY2" s="1" t="s">
        <v>50</v>
      </c>
      <c r="AZ2" s="1" t="s">
        <v>51</v>
      </c>
      <c r="BA2" s="1" t="s">
        <v>52</v>
      </c>
      <c r="BB2" s="1" t="s">
        <v>53</v>
      </c>
      <c r="BC2" s="1" t="s">
        <v>54</v>
      </c>
    </row>
    <row r="4" spans="1:55">
      <c r="A4" s="12" t="s">
        <v>184</v>
      </c>
      <c r="E4" s="12" t="s">
        <v>74</v>
      </c>
      <c r="F4" s="12" t="s">
        <v>231</v>
      </c>
      <c r="G4" s="7"/>
      <c r="H4" s="12" t="s">
        <v>203</v>
      </c>
      <c r="I4" s="12" t="s">
        <v>292</v>
      </c>
      <c r="J4" s="41"/>
      <c r="K4" s="17">
        <v>302</v>
      </c>
      <c r="L4" s="17">
        <v>154</v>
      </c>
      <c r="M4" s="17">
        <v>148</v>
      </c>
      <c r="N4" s="17">
        <v>9</v>
      </c>
      <c r="O4" s="17">
        <v>22</v>
      </c>
      <c r="P4" s="17">
        <v>1</v>
      </c>
      <c r="Q4" s="12">
        <v>1</v>
      </c>
      <c r="R4" s="12" t="s">
        <v>205</v>
      </c>
      <c r="S4" s="12"/>
      <c r="T4" s="12" t="s">
        <v>206</v>
      </c>
      <c r="U4" s="12" t="s">
        <v>89</v>
      </c>
      <c r="V4" s="12" t="s">
        <v>89</v>
      </c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 t="s">
        <v>77</v>
      </c>
      <c r="AK4" s="12" t="s">
        <v>77</v>
      </c>
      <c r="AL4" s="12" t="s">
        <v>77</v>
      </c>
      <c r="AM4" s="14">
        <v>178</v>
      </c>
      <c r="AN4" s="14">
        <v>206</v>
      </c>
      <c r="AO4" s="14">
        <v>0</v>
      </c>
      <c r="AP4" s="14">
        <v>11</v>
      </c>
      <c r="AQ4" s="14">
        <v>192</v>
      </c>
      <c r="AR4" s="14">
        <v>0</v>
      </c>
      <c r="AS4" s="14">
        <v>0</v>
      </c>
      <c r="AT4" s="14">
        <v>0</v>
      </c>
      <c r="AU4" s="14">
        <v>0</v>
      </c>
      <c r="AV4" s="14">
        <v>0</v>
      </c>
      <c r="AW4" s="14">
        <v>0</v>
      </c>
      <c r="AX4" s="14">
        <v>0</v>
      </c>
      <c r="AY4" s="14">
        <v>0</v>
      </c>
      <c r="AZ4" s="14">
        <v>3</v>
      </c>
      <c r="BA4" s="14">
        <v>3</v>
      </c>
      <c r="BB4" s="14">
        <v>0</v>
      </c>
      <c r="BC4" s="7">
        <v>5</v>
      </c>
    </row>
    <row r="5" spans="1:55">
      <c r="A5" s="12" t="s">
        <v>184</v>
      </c>
      <c r="E5" s="12" t="s">
        <v>159</v>
      </c>
      <c r="F5" s="12" t="s">
        <v>231</v>
      </c>
      <c r="G5" s="7"/>
      <c r="H5" s="12" t="s">
        <v>207</v>
      </c>
      <c r="I5" s="12" t="s">
        <v>293</v>
      </c>
      <c r="J5" s="41"/>
      <c r="K5" s="17">
        <v>271</v>
      </c>
      <c r="L5" s="17">
        <v>158</v>
      </c>
      <c r="M5" s="17">
        <v>113</v>
      </c>
      <c r="N5" s="17">
        <v>6</v>
      </c>
      <c r="O5" s="17">
        <v>8</v>
      </c>
      <c r="P5" s="17">
        <v>1</v>
      </c>
      <c r="Q5" s="12">
        <v>1</v>
      </c>
      <c r="R5" s="12" t="s">
        <v>205</v>
      </c>
      <c r="S5" s="12"/>
      <c r="T5" s="12" t="s">
        <v>206</v>
      </c>
      <c r="U5" s="15">
        <v>45757</v>
      </c>
      <c r="V5" s="15">
        <v>45719</v>
      </c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 t="s">
        <v>209</v>
      </c>
      <c r="AI5" s="12"/>
      <c r="AJ5" s="12" t="s">
        <v>77</v>
      </c>
      <c r="AK5" s="12" t="s">
        <v>77</v>
      </c>
      <c r="AL5" s="12" t="s">
        <v>77</v>
      </c>
      <c r="AM5" s="14">
        <v>184</v>
      </c>
      <c r="AN5" s="14">
        <v>196</v>
      </c>
      <c r="AO5" s="14">
        <v>0</v>
      </c>
      <c r="AP5" s="14">
        <v>9</v>
      </c>
      <c r="AQ5" s="14">
        <v>193</v>
      </c>
      <c r="AR5" s="14">
        <v>0</v>
      </c>
      <c r="AS5" s="14">
        <v>2</v>
      </c>
      <c r="AT5" s="14">
        <v>0</v>
      </c>
      <c r="AU5" s="14">
        <v>0</v>
      </c>
      <c r="AV5" s="14">
        <v>0</v>
      </c>
      <c r="AW5" s="14">
        <v>0</v>
      </c>
      <c r="AX5" s="14">
        <v>0</v>
      </c>
      <c r="AY5" s="14">
        <v>0</v>
      </c>
      <c r="AZ5" s="14">
        <v>2</v>
      </c>
      <c r="BA5" s="14">
        <v>2</v>
      </c>
      <c r="BB5" s="14">
        <v>0</v>
      </c>
      <c r="BC5" s="7">
        <v>6</v>
      </c>
    </row>
    <row r="6" spans="1:55">
      <c r="A6" s="12" t="s">
        <v>184</v>
      </c>
      <c r="E6" s="12" t="s">
        <v>123</v>
      </c>
      <c r="F6" s="12" t="s">
        <v>232</v>
      </c>
      <c r="G6" s="7"/>
      <c r="H6" s="12" t="s">
        <v>210</v>
      </c>
      <c r="I6" s="12" t="s">
        <v>294</v>
      </c>
      <c r="J6" s="41"/>
      <c r="K6" s="17">
        <v>251</v>
      </c>
      <c r="L6" s="17">
        <v>152</v>
      </c>
      <c r="M6" s="17">
        <v>99</v>
      </c>
      <c r="N6" s="17">
        <v>7</v>
      </c>
      <c r="O6" s="17">
        <v>18</v>
      </c>
      <c r="P6" s="17">
        <v>2</v>
      </c>
      <c r="Q6" s="12">
        <v>1</v>
      </c>
      <c r="R6" s="12" t="s">
        <v>205</v>
      </c>
      <c r="S6" s="12"/>
      <c r="T6" s="12" t="s">
        <v>206</v>
      </c>
      <c r="U6" s="12" t="s">
        <v>89</v>
      </c>
      <c r="V6" s="15">
        <v>45712</v>
      </c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 t="s">
        <v>212</v>
      </c>
      <c r="AI6" s="12"/>
      <c r="AJ6" s="12" t="s">
        <v>77</v>
      </c>
      <c r="AK6" s="12" t="s">
        <v>77</v>
      </c>
      <c r="AL6" s="12" t="s">
        <v>77</v>
      </c>
      <c r="AM6" s="14">
        <v>236</v>
      </c>
      <c r="AN6" s="14">
        <v>256</v>
      </c>
      <c r="AO6" s="14">
        <v>0</v>
      </c>
      <c r="AP6" s="14">
        <v>24</v>
      </c>
      <c r="AQ6" s="14">
        <v>260</v>
      </c>
      <c r="AR6" s="14">
        <v>2</v>
      </c>
      <c r="AS6" s="14">
        <v>2</v>
      </c>
      <c r="AT6" s="14">
        <v>0</v>
      </c>
      <c r="AU6" s="14">
        <v>15</v>
      </c>
      <c r="AV6" s="14">
        <v>15</v>
      </c>
      <c r="AW6" s="14">
        <v>0</v>
      </c>
      <c r="AX6" s="14">
        <v>0</v>
      </c>
      <c r="AY6" s="14">
        <v>0</v>
      </c>
      <c r="AZ6" s="14">
        <v>7</v>
      </c>
      <c r="BA6" s="14">
        <v>6</v>
      </c>
      <c r="BB6" s="14">
        <v>1</v>
      </c>
      <c r="BC6" s="7">
        <v>8</v>
      </c>
    </row>
    <row r="7" spans="1:55">
      <c r="A7" s="12" t="s">
        <v>184</v>
      </c>
      <c r="E7" s="12" t="s">
        <v>123</v>
      </c>
      <c r="F7" s="12" t="s">
        <v>232</v>
      </c>
      <c r="G7" s="7"/>
      <c r="H7" s="12" t="s">
        <v>213</v>
      </c>
      <c r="I7" s="12" t="s">
        <v>295</v>
      </c>
      <c r="J7" s="41"/>
      <c r="K7" s="17">
        <v>30</v>
      </c>
      <c r="L7" s="17">
        <v>0</v>
      </c>
      <c r="M7" s="17">
        <v>30</v>
      </c>
      <c r="N7" s="17">
        <v>1</v>
      </c>
      <c r="O7" s="17">
        <v>1</v>
      </c>
      <c r="P7" s="17">
        <v>0</v>
      </c>
      <c r="Q7" s="12">
        <v>1</v>
      </c>
      <c r="R7" s="12" t="s">
        <v>205</v>
      </c>
      <c r="S7" s="12"/>
      <c r="T7" s="12" t="s">
        <v>206</v>
      </c>
      <c r="U7" s="12" t="s">
        <v>89</v>
      </c>
      <c r="V7" s="15">
        <v>45712</v>
      </c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 t="s">
        <v>77</v>
      </c>
      <c r="AK7" s="12" t="s">
        <v>77</v>
      </c>
      <c r="AL7" s="12" t="s">
        <v>77</v>
      </c>
      <c r="AM7" s="14">
        <v>30</v>
      </c>
      <c r="AN7" s="14">
        <v>32</v>
      </c>
      <c r="AO7" s="14">
        <v>0</v>
      </c>
      <c r="AP7" s="14">
        <v>1</v>
      </c>
      <c r="AQ7" s="14">
        <v>31</v>
      </c>
      <c r="AR7" s="14">
        <v>0</v>
      </c>
      <c r="AS7" s="14">
        <v>1</v>
      </c>
      <c r="AT7" s="14">
        <v>0</v>
      </c>
      <c r="AU7" s="14">
        <v>0</v>
      </c>
      <c r="AV7" s="14">
        <v>0</v>
      </c>
      <c r="AW7" s="14">
        <v>0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7">
        <v>1</v>
      </c>
    </row>
    <row r="8" spans="1:55">
      <c r="H8" s="38"/>
      <c r="I8" s="34" t="s">
        <v>300</v>
      </c>
      <c r="AM8" s="21">
        <f t="shared" ref="AM8:BC8" si="0">SUM(AM4:AM7)</f>
        <v>628</v>
      </c>
      <c r="AN8" s="21">
        <f t="shared" si="0"/>
        <v>690</v>
      </c>
      <c r="AO8" s="21">
        <f t="shared" si="0"/>
        <v>0</v>
      </c>
      <c r="AP8" s="21">
        <f t="shared" si="0"/>
        <v>45</v>
      </c>
      <c r="AQ8" s="21">
        <f t="shared" si="0"/>
        <v>676</v>
      </c>
      <c r="AR8" s="21">
        <f t="shared" si="0"/>
        <v>2</v>
      </c>
      <c r="AS8" s="21">
        <f t="shared" si="0"/>
        <v>5</v>
      </c>
      <c r="AT8" s="21">
        <f t="shared" si="0"/>
        <v>0</v>
      </c>
      <c r="AU8" s="21">
        <f t="shared" si="0"/>
        <v>15</v>
      </c>
      <c r="AV8" s="21">
        <f t="shared" si="0"/>
        <v>15</v>
      </c>
      <c r="AW8" s="21">
        <f t="shared" si="0"/>
        <v>0</v>
      </c>
      <c r="AX8" s="21">
        <f t="shared" si="0"/>
        <v>0</v>
      </c>
      <c r="AY8" s="21">
        <f t="shared" si="0"/>
        <v>0</v>
      </c>
      <c r="AZ8" s="21">
        <f t="shared" si="0"/>
        <v>12</v>
      </c>
      <c r="BA8" s="21">
        <f t="shared" si="0"/>
        <v>11</v>
      </c>
      <c r="BB8" s="21">
        <f t="shared" si="0"/>
        <v>1</v>
      </c>
      <c r="BC8" s="21">
        <f t="shared" si="0"/>
        <v>20</v>
      </c>
    </row>
    <row r="9" spans="1:55">
      <c r="H9" s="38"/>
      <c r="AO9" s="11"/>
    </row>
    <row r="10" spans="1:55">
      <c r="A10" s="12" t="s">
        <v>184</v>
      </c>
      <c r="B10" s="16"/>
      <c r="C10" s="12"/>
      <c r="D10" s="12"/>
      <c r="E10" s="12" t="s">
        <v>74</v>
      </c>
      <c r="F10" s="12" t="s">
        <v>231</v>
      </c>
      <c r="G10" s="12"/>
      <c r="H10" s="12" t="s">
        <v>203</v>
      </c>
      <c r="I10" s="12" t="s">
        <v>297</v>
      </c>
      <c r="AM10" s="14">
        <v>105</v>
      </c>
      <c r="AN10" s="14">
        <v>228</v>
      </c>
      <c r="AO10" s="12">
        <v>0</v>
      </c>
      <c r="AP10" s="14">
        <v>11</v>
      </c>
      <c r="AQ10" s="14">
        <v>116</v>
      </c>
      <c r="AR10" s="14">
        <v>0</v>
      </c>
      <c r="AS10" s="14">
        <v>2</v>
      </c>
      <c r="AT10" s="14">
        <v>0</v>
      </c>
      <c r="AU10" s="14">
        <v>15</v>
      </c>
      <c r="AV10" s="14">
        <v>15</v>
      </c>
      <c r="AW10" s="14">
        <v>0</v>
      </c>
      <c r="AX10" s="14">
        <v>0</v>
      </c>
      <c r="AY10" s="14">
        <v>0</v>
      </c>
      <c r="AZ10" s="14">
        <v>6</v>
      </c>
      <c r="BA10" s="14">
        <v>5</v>
      </c>
      <c r="BB10" s="14">
        <v>1</v>
      </c>
      <c r="BC10" s="14">
        <v>4</v>
      </c>
    </row>
    <row r="11" spans="1:55">
      <c r="A11" s="12" t="s">
        <v>184</v>
      </c>
      <c r="B11" s="16"/>
      <c r="C11" s="12"/>
      <c r="D11" s="12"/>
      <c r="E11" s="12" t="s">
        <v>159</v>
      </c>
      <c r="F11" s="12" t="s">
        <v>231</v>
      </c>
      <c r="G11" s="12"/>
      <c r="H11" s="12" t="s">
        <v>207</v>
      </c>
      <c r="I11" s="12" t="s">
        <v>298</v>
      </c>
      <c r="AM11" s="14">
        <v>80</v>
      </c>
      <c r="AN11" s="14">
        <v>166</v>
      </c>
      <c r="AO11" s="12">
        <v>0</v>
      </c>
      <c r="AP11" s="14">
        <v>7</v>
      </c>
      <c r="AQ11" s="14">
        <v>87</v>
      </c>
      <c r="AR11" s="14">
        <v>0</v>
      </c>
      <c r="AS11" s="14">
        <v>2</v>
      </c>
      <c r="AT11" s="14">
        <v>0</v>
      </c>
      <c r="AU11" s="14">
        <v>15</v>
      </c>
      <c r="AV11" s="14">
        <v>15</v>
      </c>
      <c r="AW11" s="14">
        <v>0</v>
      </c>
      <c r="AX11" s="14">
        <v>0</v>
      </c>
      <c r="AY11" s="14">
        <v>0</v>
      </c>
      <c r="AZ11" s="14">
        <v>4</v>
      </c>
      <c r="BA11" s="14">
        <v>4</v>
      </c>
      <c r="BB11" s="14">
        <v>0</v>
      </c>
      <c r="BC11" s="14">
        <v>2</v>
      </c>
    </row>
    <row r="12" spans="1:55">
      <c r="H12" s="40"/>
      <c r="I12" s="35" t="s">
        <v>299</v>
      </c>
      <c r="AM12" s="36">
        <v>185</v>
      </c>
      <c r="AN12" s="36">
        <v>394</v>
      </c>
      <c r="AO12" s="35">
        <v>0</v>
      </c>
      <c r="AP12" s="36">
        <v>18</v>
      </c>
      <c r="AQ12" s="36">
        <v>203</v>
      </c>
      <c r="AR12" s="36">
        <v>0</v>
      </c>
      <c r="AS12" s="36">
        <v>4</v>
      </c>
      <c r="AT12" s="36">
        <v>0</v>
      </c>
      <c r="AU12" s="36">
        <v>30</v>
      </c>
      <c r="AV12" s="36">
        <v>30</v>
      </c>
      <c r="AW12" s="36">
        <v>0</v>
      </c>
      <c r="AX12" s="36">
        <v>0</v>
      </c>
      <c r="AY12" s="36">
        <v>0</v>
      </c>
      <c r="AZ12" s="36">
        <v>10</v>
      </c>
      <c r="BA12" s="36">
        <v>9</v>
      </c>
      <c r="BB12" s="36">
        <v>1</v>
      </c>
      <c r="BC12" s="36">
        <v>6</v>
      </c>
    </row>
    <row r="13" spans="1:55">
      <c r="G13" s="5"/>
      <c r="V13" s="37"/>
      <c r="AO13" s="11"/>
      <c r="BC13" s="5"/>
    </row>
    <row r="14" spans="1:55">
      <c r="A14" s="12" t="s">
        <v>80</v>
      </c>
      <c r="B14" s="16"/>
      <c r="C14" s="12"/>
      <c r="D14" s="12"/>
      <c r="E14" s="12" t="s">
        <v>245</v>
      </c>
      <c r="F14" s="12"/>
      <c r="G14" s="12"/>
      <c r="H14" s="39" t="s">
        <v>301</v>
      </c>
      <c r="I14" s="12" t="s">
        <v>302</v>
      </c>
      <c r="AM14" s="14">
        <v>260</v>
      </c>
      <c r="AN14" s="14">
        <v>294</v>
      </c>
      <c r="AO14" s="14">
        <v>0</v>
      </c>
      <c r="AP14" s="14">
        <v>19</v>
      </c>
      <c r="AQ14" s="14">
        <v>279</v>
      </c>
      <c r="AR14" s="14">
        <v>2</v>
      </c>
      <c r="AS14" s="14">
        <v>2</v>
      </c>
      <c r="AT14" s="14">
        <v>0</v>
      </c>
      <c r="AU14" s="14">
        <v>20</v>
      </c>
      <c r="AV14" s="14">
        <v>20</v>
      </c>
      <c r="AW14" s="14">
        <v>0</v>
      </c>
      <c r="AX14" s="14">
        <v>0</v>
      </c>
      <c r="AY14" s="14">
        <v>0</v>
      </c>
      <c r="AZ14" s="14">
        <v>7</v>
      </c>
      <c r="BA14" s="14">
        <v>6</v>
      </c>
      <c r="BB14" s="14">
        <v>0</v>
      </c>
      <c r="BC14" s="14">
        <v>7</v>
      </c>
    </row>
    <row r="15" spans="1:55">
      <c r="A15" s="12" t="s">
        <v>80</v>
      </c>
      <c r="B15" s="16"/>
      <c r="C15" s="12"/>
      <c r="D15" s="12"/>
      <c r="E15" s="12" t="s">
        <v>215</v>
      </c>
      <c r="F15" s="12"/>
      <c r="G15" s="12"/>
      <c r="H15" s="39" t="s">
        <v>303</v>
      </c>
      <c r="I15" s="12" t="s">
        <v>304</v>
      </c>
      <c r="AM15" s="14">
        <v>352</v>
      </c>
      <c r="AN15" s="14">
        <v>412</v>
      </c>
      <c r="AO15" s="14">
        <v>0</v>
      </c>
      <c r="AP15" s="14">
        <v>32</v>
      </c>
      <c r="AQ15" s="14">
        <v>384</v>
      </c>
      <c r="AR15" s="14">
        <v>2</v>
      </c>
      <c r="AS15" s="14">
        <v>2</v>
      </c>
      <c r="AT15" s="14">
        <v>0</v>
      </c>
      <c r="AU15" s="14">
        <v>18</v>
      </c>
      <c r="AV15" s="14">
        <v>18</v>
      </c>
      <c r="AW15" s="14">
        <v>0</v>
      </c>
      <c r="AX15" s="14">
        <v>0</v>
      </c>
      <c r="AY15" s="14">
        <v>0</v>
      </c>
      <c r="AZ15" s="14">
        <v>9</v>
      </c>
      <c r="BA15" s="14">
        <v>7</v>
      </c>
      <c r="BB15" s="14">
        <v>0</v>
      </c>
      <c r="BC15" s="14">
        <v>9</v>
      </c>
    </row>
    <row r="16" spans="1:55">
      <c r="A16" s="12" t="s">
        <v>80</v>
      </c>
      <c r="B16" s="16"/>
      <c r="C16" s="12"/>
      <c r="D16" s="12"/>
      <c r="E16" s="12" t="s">
        <v>215</v>
      </c>
      <c r="F16" s="12"/>
      <c r="G16" s="12"/>
      <c r="H16" s="39" t="s">
        <v>305</v>
      </c>
      <c r="I16" s="12" t="s">
        <v>285</v>
      </c>
      <c r="AM16" s="14">
        <v>126</v>
      </c>
      <c r="AN16" s="14">
        <v>126</v>
      </c>
      <c r="AO16" s="14">
        <v>0</v>
      </c>
      <c r="AP16" s="14">
        <v>0</v>
      </c>
      <c r="AQ16" s="14">
        <v>126</v>
      </c>
      <c r="AR16" s="14">
        <v>0</v>
      </c>
      <c r="AS16" s="14">
        <v>0</v>
      </c>
      <c r="AT16" s="14">
        <v>0</v>
      </c>
      <c r="AU16" s="14">
        <v>0</v>
      </c>
      <c r="AV16" s="14">
        <v>0</v>
      </c>
      <c r="AW16" s="14">
        <v>0</v>
      </c>
      <c r="AX16" s="14">
        <v>0</v>
      </c>
      <c r="AY16" s="14">
        <v>0</v>
      </c>
      <c r="AZ16" s="14">
        <v>0</v>
      </c>
      <c r="BA16" s="14">
        <v>0</v>
      </c>
      <c r="BB16" s="14">
        <v>0</v>
      </c>
      <c r="BC16" s="14">
        <v>0</v>
      </c>
    </row>
    <row r="17" spans="8:55">
      <c r="I17" s="12" t="s">
        <v>287</v>
      </c>
      <c r="AM17" s="14">
        <v>60</v>
      </c>
      <c r="AN17" s="14">
        <v>70</v>
      </c>
      <c r="AO17" s="12">
        <v>0</v>
      </c>
      <c r="AP17" s="14">
        <v>5</v>
      </c>
      <c r="AQ17" s="14">
        <v>0</v>
      </c>
      <c r="AR17" s="14">
        <v>0</v>
      </c>
      <c r="AS17" s="14">
        <v>0</v>
      </c>
      <c r="AT17" s="14">
        <v>0</v>
      </c>
      <c r="AU17" s="14">
        <v>30</v>
      </c>
      <c r="AV17" s="14">
        <v>30</v>
      </c>
      <c r="AW17" s="14">
        <v>0</v>
      </c>
      <c r="AX17" s="14">
        <v>0</v>
      </c>
      <c r="AY17" s="14">
        <v>0</v>
      </c>
      <c r="AZ17" s="14">
        <v>1</v>
      </c>
      <c r="BA17" s="14">
        <v>2</v>
      </c>
      <c r="BB17" s="14">
        <v>0</v>
      </c>
      <c r="BC17" s="14">
        <v>16</v>
      </c>
    </row>
    <row r="18" spans="8:55">
      <c r="I18" s="12" t="s">
        <v>288</v>
      </c>
      <c r="AM18" s="14">
        <f t="shared" ref="AM18:BC18" si="1">SUM(AM14:AM16)</f>
        <v>738</v>
      </c>
      <c r="AN18" s="14">
        <f t="shared" si="1"/>
        <v>832</v>
      </c>
      <c r="AO18" s="14">
        <f t="shared" si="1"/>
        <v>0</v>
      </c>
      <c r="AP18" s="14">
        <f t="shared" si="1"/>
        <v>51</v>
      </c>
      <c r="AQ18" s="14">
        <f t="shared" si="1"/>
        <v>789</v>
      </c>
      <c r="AR18" s="14">
        <f t="shared" si="1"/>
        <v>4</v>
      </c>
      <c r="AS18" s="14">
        <f t="shared" si="1"/>
        <v>4</v>
      </c>
      <c r="AT18" s="14">
        <f t="shared" si="1"/>
        <v>0</v>
      </c>
      <c r="AU18" s="14">
        <f t="shared" si="1"/>
        <v>38</v>
      </c>
      <c r="AV18" s="14">
        <f t="shared" si="1"/>
        <v>38</v>
      </c>
      <c r="AW18" s="14">
        <f t="shared" si="1"/>
        <v>0</v>
      </c>
      <c r="AX18" s="14">
        <f t="shared" si="1"/>
        <v>0</v>
      </c>
      <c r="AY18" s="14">
        <f t="shared" si="1"/>
        <v>0</v>
      </c>
      <c r="AZ18" s="14">
        <f t="shared" si="1"/>
        <v>16</v>
      </c>
      <c r="BA18" s="14">
        <f t="shared" si="1"/>
        <v>13</v>
      </c>
      <c r="BB18" s="14">
        <f t="shared" si="1"/>
        <v>0</v>
      </c>
      <c r="BC18" s="14">
        <f t="shared" si="1"/>
        <v>16</v>
      </c>
    </row>
    <row r="19" spans="8:55">
      <c r="H19" s="38"/>
      <c r="I19" s="12" t="s">
        <v>289</v>
      </c>
      <c r="AM19" s="14">
        <v>125</v>
      </c>
      <c r="AN19" s="14">
        <v>400</v>
      </c>
      <c r="AO19" s="14">
        <v>0</v>
      </c>
      <c r="AP19" s="14">
        <v>0</v>
      </c>
      <c r="AQ19" s="14">
        <v>0</v>
      </c>
      <c r="AR19" s="14">
        <v>0</v>
      </c>
      <c r="AS19" s="14">
        <v>12</v>
      </c>
      <c r="AT19" s="14">
        <v>6</v>
      </c>
      <c r="AU19" s="14">
        <v>0</v>
      </c>
      <c r="AV19" s="14">
        <v>0</v>
      </c>
      <c r="AW19" s="14">
        <v>0</v>
      </c>
      <c r="AX19" s="14">
        <v>1</v>
      </c>
      <c r="AY19" s="14">
        <v>0</v>
      </c>
      <c r="AZ19" s="14">
        <v>0</v>
      </c>
      <c r="BA19" s="14">
        <v>0</v>
      </c>
      <c r="BB19" s="14">
        <v>0</v>
      </c>
      <c r="BC19" s="14">
        <v>3</v>
      </c>
    </row>
    <row r="20" spans="8:55">
      <c r="H20" s="38"/>
      <c r="I20" s="12" t="s">
        <v>300</v>
      </c>
      <c r="AM20" s="14">
        <f t="shared" ref="AM20:BC20" si="2">SUM(AM16:AM19)</f>
        <v>1049</v>
      </c>
      <c r="AN20" s="14">
        <f t="shared" si="2"/>
        <v>1428</v>
      </c>
      <c r="AO20" s="14">
        <f t="shared" si="2"/>
        <v>0</v>
      </c>
      <c r="AP20" s="14">
        <f t="shared" si="2"/>
        <v>56</v>
      </c>
      <c r="AQ20" s="14">
        <f t="shared" si="2"/>
        <v>915</v>
      </c>
      <c r="AR20" s="14">
        <f t="shared" si="2"/>
        <v>4</v>
      </c>
      <c r="AS20" s="14">
        <f t="shared" si="2"/>
        <v>16</v>
      </c>
      <c r="AT20" s="14">
        <f t="shared" si="2"/>
        <v>6</v>
      </c>
      <c r="AU20" s="14">
        <f t="shared" si="2"/>
        <v>68</v>
      </c>
      <c r="AV20" s="14">
        <f t="shared" si="2"/>
        <v>68</v>
      </c>
      <c r="AW20" s="14">
        <f t="shared" si="2"/>
        <v>0</v>
      </c>
      <c r="AX20" s="14">
        <f t="shared" si="2"/>
        <v>1</v>
      </c>
      <c r="AY20" s="14">
        <f t="shared" si="2"/>
        <v>0</v>
      </c>
      <c r="AZ20" s="14">
        <f t="shared" si="2"/>
        <v>17</v>
      </c>
      <c r="BA20" s="14">
        <f t="shared" si="2"/>
        <v>15</v>
      </c>
      <c r="BB20" s="14">
        <f t="shared" si="2"/>
        <v>0</v>
      </c>
      <c r="BC20" s="14">
        <f t="shared" si="2"/>
        <v>35</v>
      </c>
    </row>
    <row r="22" spans="8:55">
      <c r="I22" s="33" t="s">
        <v>306</v>
      </c>
      <c r="K22" s="30"/>
      <c r="L22" s="30"/>
      <c r="M22" s="30"/>
      <c r="N22" s="30"/>
      <c r="O22" s="30"/>
      <c r="P22" s="30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32">
        <v>60</v>
      </c>
      <c r="AN22" s="32">
        <v>82</v>
      </c>
      <c r="AO22" s="33">
        <v>0</v>
      </c>
      <c r="AP22" s="32">
        <v>27</v>
      </c>
      <c r="AQ22" s="32">
        <v>80</v>
      </c>
      <c r="AR22" s="32">
        <v>0</v>
      </c>
      <c r="AS22" s="32">
        <v>0</v>
      </c>
      <c r="AT22" s="32">
        <v>0</v>
      </c>
      <c r="AU22" s="32">
        <v>42</v>
      </c>
      <c r="AV22" s="32">
        <v>42</v>
      </c>
      <c r="AW22" s="32">
        <v>0</v>
      </c>
      <c r="AX22" s="32">
        <v>0</v>
      </c>
      <c r="AY22" s="32">
        <v>0</v>
      </c>
      <c r="AZ22" s="32">
        <v>1</v>
      </c>
      <c r="BA22" s="32">
        <v>2</v>
      </c>
      <c r="BB22" s="32">
        <v>0</v>
      </c>
      <c r="BC22" s="32">
        <v>16</v>
      </c>
    </row>
  </sheetData>
  <sheetProtection formatCells="0" formatColumns="0" formatRows="0" insertColumns="0" insertRows="0" insertHyperlinks="0" deleteColumns="0" deleteRows="0" sort="0" autoFilter="0"/>
  <autoFilter ref="A2:BC2" xr:uid="{66249CD7-F0C3-4D66-831B-03B6D5E8D2DA}"/>
  <mergeCells count="1">
    <mergeCell ref="AG1:AH1"/>
  </mergeCells>
  <printOptions headings="1"/>
  <pageMargins left="0.25" right="0.25" top="0.75" bottom="0.75" header="0.3" footer="0.3"/>
  <pageSetup paperSize="3" fitToHeight="0" orientation="landscape" r:id="rId1"/>
  <headerFooter>
    <oddHeader>&amp;C&amp;A</oddHeader>
    <oddFooter>&amp;C&amp;P of &amp;N&amp;R&amp;D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Washicosky, David</dc:creator>
  <cp:keywords/>
  <dc:description/>
  <cp:lastModifiedBy/>
  <cp:revision/>
  <dcterms:created xsi:type="dcterms:W3CDTF">2024-08-14T14:13:00Z</dcterms:created>
  <dcterms:modified xsi:type="dcterms:W3CDTF">2025-10-29T18:44:47Z</dcterms:modified>
  <cp:category/>
  <cp:contentStatus/>
</cp:coreProperties>
</file>